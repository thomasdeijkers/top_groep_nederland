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W:\Werkadm TGN\Verloning 2026\"/>
    </mc:Choice>
  </mc:AlternateContent>
  <xr:revisionPtr revIDLastSave="0" documentId="13_ncr:1_{88097814-2DFC-4B3C-95DF-C550AF041CCD}" xr6:coauthVersionLast="47" xr6:coauthVersionMax="47" xr10:uidLastSave="{00000000-0000-0000-0000-000000000000}"/>
  <bookViews>
    <workbookView xWindow="-105" yWindow="0" windowWidth="29010" windowHeight="15585" tabRatio="556" xr2:uid="{1927FE57-99A0-4CBD-9900-AE8CEDE611D1}"/>
  </bookViews>
  <sheets>
    <sheet name="WK21" sheetId="3" r:id="rId1"/>
    <sheet name="WK22" sheetId="1" r:id="rId2"/>
    <sheet name="WK23" sheetId="4" r:id="rId3"/>
    <sheet name="WK24" sheetId="5" r:id="rId4"/>
    <sheet name="Periode" sheetId="2" r:id="rId5"/>
    <sheet name="Loonstrook" sheetId="8" r:id="rId6"/>
    <sheet name="Grondslag bouw &amp; infra" sheetId="6" r:id="rId7"/>
    <sheet name="SAVG" sheetId="9" r:id="rId8"/>
  </sheets>
  <definedNames>
    <definedName name="_xlnm._FilterDatabase" localSheetId="3" hidden="1">'WK24'!$A$4:$DW$4</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B91" i="2" l="1"/>
  <c r="BC91" i="2"/>
  <c r="O56" i="8" l="1"/>
  <c r="AS63" i="2" l="1"/>
  <c r="AY63" i="2" s="1"/>
  <c r="AS57" i="2"/>
  <c r="AS46" i="2"/>
  <c r="AY46" i="2"/>
  <c r="P46" i="5" s="1"/>
  <c r="Q132" i="8"/>
  <c r="F131" i="1"/>
  <c r="B8" i="5"/>
  <c r="Q48" i="8"/>
  <c r="Q149" i="8"/>
  <c r="R143" i="8"/>
  <c r="Q141" i="8"/>
  <c r="Q116" i="8"/>
  <c r="R138" i="8"/>
  <c r="Q138" i="8"/>
  <c r="Q129" i="8"/>
  <c r="Q125" i="8"/>
  <c r="R125" i="8"/>
  <c r="Q123" i="8"/>
  <c r="Q83" i="8"/>
  <c r="Q110" i="8"/>
  <c r="R110" i="8"/>
  <c r="Q99" i="8"/>
  <c r="Q92" i="8"/>
  <c r="Q87" i="8"/>
  <c r="Q104" i="8"/>
  <c r="Q119" i="8"/>
  <c r="Q80" i="8"/>
  <c r="Q77" i="8"/>
  <c r="P77" i="5"/>
  <c r="Q134" i="8"/>
  <c r="Q74" i="8"/>
  <c r="S75" i="8"/>
  <c r="Q57" i="8"/>
  <c r="Q53" i="8"/>
  <c r="S48" i="8"/>
  <c r="Q46" i="8"/>
  <c r="Q143" i="8"/>
  <c r="Q147" i="8"/>
  <c r="P63" i="4" l="1"/>
  <c r="P63" i="5"/>
  <c r="P63" i="1"/>
  <c r="P63" i="3"/>
  <c r="P46" i="1"/>
  <c r="P46" i="4"/>
  <c r="P46" i="3"/>
  <c r="Q42" i="8"/>
  <c r="R42" i="8"/>
  <c r="Q39" i="8"/>
  <c r="Q35" i="8"/>
  <c r="O36" i="8"/>
  <c r="Q33" i="8"/>
  <c r="Q26" i="8" l="1"/>
  <c r="Q23" i="8"/>
  <c r="Q15" i="8"/>
  <c r="R15" i="8"/>
  <c r="Q12" i="8"/>
  <c r="Q8" i="8"/>
  <c r="M23" i="5" l="1"/>
  <c r="N23" i="5" s="1"/>
  <c r="B63" i="5"/>
  <c r="M57" i="5"/>
  <c r="O57" i="5" s="1"/>
  <c r="B8" i="4"/>
  <c r="M57" i="4" l="1"/>
  <c r="M26" i="4"/>
  <c r="O99" i="5" l="1"/>
  <c r="O99" i="4"/>
  <c r="O99" i="1"/>
  <c r="O110" i="5"/>
  <c r="O110" i="4"/>
  <c r="O110" i="1"/>
  <c r="B8" i="1"/>
  <c r="B93" i="1"/>
  <c r="P57" i="1"/>
  <c r="M26" i="1"/>
  <c r="P129" i="1"/>
  <c r="BC131" i="2" l="1"/>
  <c r="G48" i="1" l="1"/>
  <c r="M23" i="1"/>
  <c r="N23" i="1" s="1"/>
  <c r="B74" i="1"/>
  <c r="M57" i="1"/>
  <c r="O57" i="1" s="1"/>
  <c r="O155" i="5" l="1"/>
  <c r="O149" i="5"/>
  <c r="O143" i="5"/>
  <c r="O138" i="5"/>
  <c r="O123" i="5"/>
  <c r="O90" i="5"/>
  <c r="O87" i="5"/>
  <c r="O83" i="5"/>
  <c r="O80" i="5"/>
  <c r="O74" i="5"/>
  <c r="O53" i="5"/>
  <c r="O48" i="5"/>
  <c r="O35" i="5"/>
  <c r="O33" i="5"/>
  <c r="O26" i="5"/>
  <c r="O23" i="5"/>
  <c r="O123" i="4"/>
  <c r="O90" i="4"/>
  <c r="O87" i="4"/>
  <c r="O57" i="4"/>
  <c r="O48" i="4"/>
  <c r="O123" i="1"/>
  <c r="O90" i="1"/>
  <c r="O87" i="1"/>
  <c r="O48" i="1"/>
  <c r="B141" i="1"/>
  <c r="G104" i="3"/>
  <c r="G48" i="3"/>
  <c r="M74" i="3"/>
  <c r="G12" i="3" l="1"/>
  <c r="B8" i="3"/>
  <c r="B92" i="3"/>
  <c r="B90" i="3"/>
  <c r="B53" i="3" l="1"/>
  <c r="M26" i="3"/>
  <c r="M57" i="3" l="1"/>
  <c r="BC125" i="2" l="1"/>
  <c r="BC83" i="2"/>
  <c r="BC134" i="2"/>
  <c r="BC8" i="2"/>
  <c r="BC48" i="2" l="1"/>
  <c r="BC138" i="2"/>
  <c r="C125" i="5" l="1"/>
  <c r="B125" i="5"/>
  <c r="C125" i="4"/>
  <c r="B125" i="4"/>
  <c r="C125" i="1"/>
  <c r="B125" i="1"/>
  <c r="N87" i="4"/>
  <c r="C87" i="4"/>
  <c r="B87" i="4"/>
  <c r="N87" i="1"/>
  <c r="C87" i="1"/>
  <c r="B87" i="1"/>
  <c r="O87" i="3"/>
  <c r="N87" i="3"/>
  <c r="P87" i="1" s="1"/>
  <c r="C87" i="3"/>
  <c r="B87" i="3"/>
  <c r="BB8" i="2"/>
  <c r="O138" i="4"/>
  <c r="O138" i="1"/>
  <c r="O138" i="3"/>
  <c r="R63" i="5"/>
  <c r="R63" i="4"/>
  <c r="R63" i="1"/>
  <c r="R46" i="3"/>
  <c r="B17" i="4" l="1"/>
  <c r="B17" i="1"/>
  <c r="B17" i="3"/>
  <c r="C8" i="3"/>
  <c r="B12" i="3"/>
  <c r="C12" i="3"/>
  <c r="C13" i="3"/>
  <c r="Q13" i="3"/>
  <c r="B15" i="3"/>
  <c r="C15" i="3"/>
  <c r="B23" i="3"/>
  <c r="C23" i="3"/>
  <c r="N23" i="3"/>
  <c r="O23" i="3"/>
  <c r="B26" i="3"/>
  <c r="C26" i="3"/>
  <c r="N26" i="3"/>
  <c r="O26" i="3"/>
  <c r="B33" i="3"/>
  <c r="C33" i="3"/>
  <c r="N33" i="3"/>
  <c r="O33" i="3"/>
  <c r="B35" i="3"/>
  <c r="C35" i="3"/>
  <c r="N35" i="3"/>
  <c r="O35" i="3"/>
  <c r="B39" i="3"/>
  <c r="C39" i="3"/>
  <c r="B42" i="3"/>
  <c r="C42" i="3"/>
  <c r="B46" i="3"/>
  <c r="C46" i="3"/>
  <c r="B48" i="3"/>
  <c r="C48" i="3"/>
  <c r="N48" i="3"/>
  <c r="O48" i="3"/>
  <c r="C50" i="3"/>
  <c r="C53" i="3"/>
  <c r="N53" i="3"/>
  <c r="O53" i="3"/>
  <c r="C54" i="3"/>
  <c r="C55" i="3"/>
  <c r="B57" i="3"/>
  <c r="C57" i="3"/>
  <c r="N57" i="3"/>
  <c r="O57" i="3"/>
  <c r="C59" i="3"/>
  <c r="K59" i="3"/>
  <c r="Q59" i="3" s="1"/>
  <c r="B63" i="3"/>
  <c r="C63" i="3"/>
  <c r="R63" i="3"/>
  <c r="N68" i="3"/>
  <c r="Q68" i="3"/>
  <c r="B70" i="3"/>
  <c r="C70" i="3"/>
  <c r="N72" i="3"/>
  <c r="Q72" i="3"/>
  <c r="B74" i="3"/>
  <c r="C74" i="3"/>
  <c r="N74" i="3"/>
  <c r="O74" i="3"/>
  <c r="B77" i="3"/>
  <c r="C77" i="3"/>
  <c r="C78" i="3"/>
  <c r="C79" i="3"/>
  <c r="B80" i="3"/>
  <c r="C80" i="3"/>
  <c r="N80" i="3"/>
  <c r="O80" i="3"/>
  <c r="C81" i="3"/>
  <c r="C82" i="3"/>
  <c r="B83" i="3"/>
  <c r="C83" i="3"/>
  <c r="N83" i="3"/>
  <c r="O83" i="3"/>
  <c r="C84" i="3"/>
  <c r="C85" i="3"/>
  <c r="C86" i="3"/>
  <c r="C88" i="3"/>
  <c r="C89" i="3"/>
  <c r="C90" i="3"/>
  <c r="N90" i="3"/>
  <c r="P90" i="1" s="1"/>
  <c r="O90" i="3"/>
  <c r="C91" i="3"/>
  <c r="C92" i="3"/>
  <c r="C93" i="3"/>
  <c r="C94" i="3"/>
  <c r="C96" i="3"/>
  <c r="C97" i="3"/>
  <c r="B99" i="3"/>
  <c r="C99" i="3"/>
  <c r="N99" i="3"/>
  <c r="O99" i="3"/>
  <c r="C103" i="3"/>
  <c r="B104" i="3"/>
  <c r="C104" i="3"/>
  <c r="C105" i="3"/>
  <c r="C106" i="3"/>
  <c r="C108" i="3"/>
  <c r="C109" i="3"/>
  <c r="B110" i="3"/>
  <c r="C110" i="3"/>
  <c r="N110" i="3"/>
  <c r="P110" i="1" s="1"/>
  <c r="O110" i="3"/>
  <c r="C111" i="3"/>
  <c r="C112" i="3"/>
  <c r="C114" i="3"/>
  <c r="C115" i="3"/>
  <c r="B116" i="3"/>
  <c r="C116" i="3"/>
  <c r="C118" i="3"/>
  <c r="B119" i="3"/>
  <c r="C119" i="3"/>
  <c r="C120" i="3"/>
  <c r="C121" i="3"/>
  <c r="C122" i="3"/>
  <c r="B123" i="3"/>
  <c r="C123" i="3"/>
  <c r="N123" i="3"/>
  <c r="P123" i="1" s="1"/>
  <c r="O123" i="3"/>
  <c r="C124" i="3"/>
  <c r="B125" i="3"/>
  <c r="C125" i="3"/>
  <c r="C127" i="3"/>
  <c r="C128" i="3"/>
  <c r="B129" i="3"/>
  <c r="C129" i="3"/>
  <c r="C130" i="3"/>
  <c r="B131" i="3"/>
  <c r="C131" i="3"/>
  <c r="C133" i="3"/>
  <c r="B134" i="3"/>
  <c r="C134" i="3"/>
  <c r="C136" i="3"/>
  <c r="C137" i="3"/>
  <c r="B138" i="3"/>
  <c r="C138" i="3"/>
  <c r="N138" i="3"/>
  <c r="C139" i="3"/>
  <c r="B141" i="3"/>
  <c r="C141" i="3"/>
  <c r="C142" i="3"/>
  <c r="B143" i="3"/>
  <c r="C143" i="3"/>
  <c r="N143" i="3"/>
  <c r="O143" i="3"/>
  <c r="C144" i="3"/>
  <c r="C145" i="3"/>
  <c r="C146" i="3"/>
  <c r="B147" i="3"/>
  <c r="C147" i="3"/>
  <c r="C148" i="3"/>
  <c r="B149" i="3"/>
  <c r="C149" i="3"/>
  <c r="N149" i="3"/>
  <c r="O149" i="3"/>
  <c r="O45" i="8"/>
  <c r="R46" i="5"/>
  <c r="O14" i="8"/>
  <c r="BD131" i="2"/>
  <c r="BF131" i="2" s="1"/>
  <c r="X131" i="2"/>
  <c r="BE131" i="2" l="1"/>
  <c r="K131" i="3" s="1"/>
  <c r="Q131" i="3" s="1"/>
  <c r="I138" i="8" l="1"/>
  <c r="H138" i="8"/>
  <c r="F138" i="8"/>
  <c r="D138" i="8"/>
  <c r="O135" i="8"/>
  <c r="Q90" i="8"/>
  <c r="J138" i="8"/>
  <c r="O126" i="8"/>
  <c r="B119" i="8"/>
  <c r="B87" i="8"/>
  <c r="O84" i="8"/>
  <c r="O78" i="8"/>
  <c r="D70" i="2"/>
  <c r="D69" i="2"/>
  <c r="Q63" i="8" l="1"/>
  <c r="O62" i="8"/>
  <c r="R57" i="8"/>
  <c r="O47" i="8"/>
  <c r="O41" i="8"/>
  <c r="R35" i="8" l="1"/>
  <c r="B12" i="5" l="1"/>
  <c r="N23" i="4" l="1"/>
  <c r="K131" i="5" l="1"/>
  <c r="Q131" i="5" s="1"/>
  <c r="C131" i="5"/>
  <c r="B131" i="5"/>
  <c r="K131" i="4"/>
  <c r="Q131" i="4" s="1"/>
  <c r="C131" i="4"/>
  <c r="B131" i="4"/>
  <c r="K131" i="1"/>
  <c r="Q131" i="1" s="1"/>
  <c r="C131" i="1"/>
  <c r="B131" i="1"/>
  <c r="N131" i="8" l="1"/>
  <c r="M131" i="8"/>
  <c r="L131" i="8"/>
  <c r="K131" i="8"/>
  <c r="J131" i="8"/>
  <c r="I131" i="8"/>
  <c r="H131" i="8"/>
  <c r="G131" i="8"/>
  <c r="F131" i="8"/>
  <c r="E131" i="8"/>
  <c r="D131" i="8"/>
  <c r="C131" i="8"/>
  <c r="B131" i="8"/>
  <c r="N57" i="1"/>
  <c r="D57" i="2"/>
  <c r="O131" i="8" l="1"/>
  <c r="B134" i="1" l="1"/>
  <c r="B99" i="1" l="1"/>
  <c r="D42" i="2"/>
  <c r="C92" i="4" l="1"/>
  <c r="B92" i="4"/>
  <c r="C92" i="1"/>
  <c r="B92" i="1"/>
  <c r="BC116" i="2"/>
  <c r="N51" i="2"/>
  <c r="P51" i="2" s="1"/>
  <c r="U51" i="2"/>
  <c r="X51" i="2"/>
  <c r="AF51" i="2"/>
  <c r="AM51" i="2"/>
  <c r="BB51" i="2"/>
  <c r="BD51" i="2" s="1"/>
  <c r="BF51" i="2" s="1"/>
  <c r="BC51" i="2"/>
  <c r="B51" i="8"/>
  <c r="C51" i="8"/>
  <c r="D51" i="8"/>
  <c r="E51" i="8"/>
  <c r="F51" i="8"/>
  <c r="G51" i="8"/>
  <c r="H51" i="8"/>
  <c r="I51" i="8"/>
  <c r="J51" i="8"/>
  <c r="K51" i="8"/>
  <c r="L51" i="8"/>
  <c r="Q51" i="8"/>
  <c r="BE51" i="2" l="1"/>
  <c r="B8" i="8"/>
  <c r="R77" i="8" l="1"/>
  <c r="B74" i="8"/>
  <c r="Q60" i="8"/>
  <c r="R60" i="8"/>
  <c r="Q20" i="8" l="1"/>
  <c r="D20" i="2"/>
  <c r="R39" i="8" l="1"/>
  <c r="AY134" i="2"/>
  <c r="BC63" i="2"/>
  <c r="P134" i="5" l="1"/>
  <c r="P134" i="4"/>
  <c r="P134" i="1"/>
  <c r="P134" i="3"/>
  <c r="R135" i="3" s="1"/>
  <c r="BB63" i="2"/>
  <c r="R135" i="4"/>
  <c r="R135" i="1"/>
  <c r="R135" i="5"/>
  <c r="BB134" i="2"/>
  <c r="BB125" i="2"/>
  <c r="D39" i="2"/>
  <c r="B13" i="4"/>
  <c r="BD63" i="2" l="1"/>
  <c r="BD134" i="2"/>
  <c r="C134" i="5"/>
  <c r="B134" i="5"/>
  <c r="C134" i="4"/>
  <c r="B134" i="4"/>
  <c r="C134" i="1"/>
  <c r="B26" i="8"/>
  <c r="D8" i="2"/>
  <c r="BC87" i="2" l="1"/>
  <c r="BB83" i="2"/>
  <c r="L125" i="8" l="1"/>
  <c r="K125" i="8"/>
  <c r="J125" i="8"/>
  <c r="I125" i="8"/>
  <c r="H125" i="8"/>
  <c r="G125" i="8"/>
  <c r="F125" i="8"/>
  <c r="E125" i="8"/>
  <c r="D125" i="8"/>
  <c r="C125" i="8"/>
  <c r="B125" i="8"/>
  <c r="AY125" i="2"/>
  <c r="BD125" i="2" s="1"/>
  <c r="AF125" i="2"/>
  <c r="X125" i="2"/>
  <c r="U125" i="2"/>
  <c r="N125" i="2"/>
  <c r="P125" i="2" s="1"/>
  <c r="AF134" i="2"/>
  <c r="X134" i="2"/>
  <c r="U134" i="2"/>
  <c r="N134" i="2"/>
  <c r="P134" i="2" s="1"/>
  <c r="BE125" i="2" l="1"/>
  <c r="BF125" i="2"/>
  <c r="BF134" i="2"/>
  <c r="BE134" i="2"/>
  <c r="AQ125" i="2"/>
  <c r="AQ134" i="2"/>
  <c r="BC141" i="2"/>
  <c r="K125" i="4" l="1"/>
  <c r="Q125" i="4" s="1"/>
  <c r="K125" i="3"/>
  <c r="Q125" i="3" s="1"/>
  <c r="K125" i="5"/>
  <c r="Q125" i="5" s="1"/>
  <c r="N125" i="8" s="1"/>
  <c r="K125" i="1"/>
  <c r="Q125" i="1" s="1"/>
  <c r="K134" i="3"/>
  <c r="R133" i="3" s="1"/>
  <c r="K134" i="5"/>
  <c r="K134" i="4"/>
  <c r="K134" i="1"/>
  <c r="O83" i="4"/>
  <c r="O83" i="1"/>
  <c r="N83" i="1"/>
  <c r="D23" i="2"/>
  <c r="Q134" i="3" l="1"/>
  <c r="Q134" i="1"/>
  <c r="R133" i="1"/>
  <c r="Q134" i="4"/>
  <c r="R133" i="4"/>
  <c r="Q134" i="5"/>
  <c r="R133" i="5"/>
  <c r="M125" i="8"/>
  <c r="O125" i="8" s="1"/>
  <c r="P126" i="8" s="1"/>
  <c r="BC90" i="2"/>
  <c r="BB90" i="2"/>
  <c r="C57" i="1"/>
  <c r="B57" i="1"/>
  <c r="N57" i="4"/>
  <c r="C57" i="4"/>
  <c r="B57" i="4"/>
  <c r="N138" i="1"/>
  <c r="C138" i="1"/>
  <c r="B138" i="1"/>
  <c r="N74" i="5"/>
  <c r="C74" i="5"/>
  <c r="B74" i="5"/>
  <c r="O74" i="1"/>
  <c r="N74" i="1"/>
  <c r="C74" i="1"/>
  <c r="C116" i="5"/>
  <c r="B116" i="5"/>
  <c r="C116" i="4"/>
  <c r="B116" i="4"/>
  <c r="C116" i="1"/>
  <c r="B116" i="1"/>
  <c r="BB116" i="2"/>
  <c r="L141" i="8"/>
  <c r="K141" i="8"/>
  <c r="J141" i="8"/>
  <c r="I141" i="8"/>
  <c r="H141" i="8"/>
  <c r="G141" i="8"/>
  <c r="F141" i="8"/>
  <c r="E141" i="8"/>
  <c r="D141" i="8"/>
  <c r="C141" i="8"/>
  <c r="B141" i="8"/>
  <c r="C141" i="5"/>
  <c r="B141" i="5"/>
  <c r="C141" i="4"/>
  <c r="B141" i="4"/>
  <c r="C141" i="1"/>
  <c r="L92" i="8"/>
  <c r="J92" i="8"/>
  <c r="I92" i="8"/>
  <c r="H92" i="8"/>
  <c r="G92" i="8"/>
  <c r="F92" i="8"/>
  <c r="E92" i="8"/>
  <c r="D92" i="8"/>
  <c r="C92" i="8"/>
  <c r="B92" i="8"/>
  <c r="C92" i="5"/>
  <c r="B92" i="5"/>
  <c r="L90" i="8"/>
  <c r="J90" i="8"/>
  <c r="I90" i="8"/>
  <c r="H90" i="8"/>
  <c r="G90" i="8"/>
  <c r="F90" i="8"/>
  <c r="E90" i="8"/>
  <c r="D90" i="8"/>
  <c r="C90" i="8"/>
  <c r="B90" i="8"/>
  <c r="N90" i="5"/>
  <c r="C90" i="5"/>
  <c r="B90" i="5"/>
  <c r="N90" i="4"/>
  <c r="C90" i="4"/>
  <c r="B90" i="4"/>
  <c r="N90" i="1"/>
  <c r="C90" i="1"/>
  <c r="B90" i="1"/>
  <c r="L83" i="8"/>
  <c r="J83" i="8"/>
  <c r="I83" i="8"/>
  <c r="H83" i="8"/>
  <c r="G83" i="8"/>
  <c r="F83" i="8"/>
  <c r="E83" i="8"/>
  <c r="D83" i="8"/>
  <c r="C83" i="8"/>
  <c r="B83" i="8"/>
  <c r="N83" i="5"/>
  <c r="C83" i="5"/>
  <c r="B83" i="5"/>
  <c r="N83" i="4"/>
  <c r="C83" i="4"/>
  <c r="B83" i="4"/>
  <c r="C83" i="1"/>
  <c r="B83" i="1"/>
  <c r="BC92" i="2"/>
  <c r="D87" i="2"/>
  <c r="K83" i="8" l="1"/>
  <c r="K92" i="8"/>
  <c r="K90" i="8"/>
  <c r="B149" i="5" l="1"/>
  <c r="AY141" i="2"/>
  <c r="BD141" i="2" s="1"/>
  <c r="X141" i="2"/>
  <c r="U141" i="2"/>
  <c r="N141" i="2"/>
  <c r="P141" i="2" s="1"/>
  <c r="AQ141" i="2" s="1"/>
  <c r="AY92" i="2"/>
  <c r="BD92" i="2" s="1"/>
  <c r="AF92" i="2"/>
  <c r="X92" i="2"/>
  <c r="U92" i="2"/>
  <c r="N92" i="2"/>
  <c r="P92" i="2" s="1"/>
  <c r="N90" i="2"/>
  <c r="P90" i="2" s="1"/>
  <c r="B33" i="4"/>
  <c r="O74" i="4"/>
  <c r="BC149" i="2"/>
  <c r="BC143" i="2"/>
  <c r="BC74" i="2"/>
  <c r="BB74" i="2"/>
  <c r="BE141" i="2" l="1"/>
  <c r="BF141" i="2"/>
  <c r="BE92" i="2"/>
  <c r="BF92" i="2"/>
  <c r="K92" i="3" s="1"/>
  <c r="Q92" i="3" s="1"/>
  <c r="AQ92" i="2"/>
  <c r="K141" i="3" l="1"/>
  <c r="Q141" i="3" s="1"/>
  <c r="K92" i="1"/>
  <c r="Q92" i="1" s="1"/>
  <c r="K92" i="4"/>
  <c r="Q92" i="4" s="1"/>
  <c r="K141" i="5"/>
  <c r="Q141" i="5" s="1"/>
  <c r="N141" i="8" s="1"/>
  <c r="K92" i="5"/>
  <c r="K141" i="1"/>
  <c r="Q141" i="1" s="1"/>
  <c r="K141" i="4"/>
  <c r="Q141" i="4" s="1"/>
  <c r="AY83" i="2"/>
  <c r="BD83" i="2" s="1"/>
  <c r="AF83" i="2"/>
  <c r="X83" i="2"/>
  <c r="U83" i="2"/>
  <c r="N83" i="2"/>
  <c r="P83" i="2" s="1"/>
  <c r="M141" i="8" l="1"/>
  <c r="O141" i="8" s="1"/>
  <c r="BF83" i="2"/>
  <c r="BE83" i="2"/>
  <c r="AQ83" i="2"/>
  <c r="BC77" i="2"/>
  <c r="K83" i="3" l="1"/>
  <c r="Q83" i="3" s="1"/>
  <c r="K83" i="1"/>
  <c r="Q83" i="1" s="1"/>
  <c r="K83" i="5"/>
  <c r="Q83" i="5" s="1"/>
  <c r="N83" i="8" s="1"/>
  <c r="K83" i="4"/>
  <c r="Q83" i="4" s="1"/>
  <c r="BC46" i="2"/>
  <c r="M83" i="8" l="1"/>
  <c r="O83" i="8" s="1"/>
  <c r="P84" i="8" s="1"/>
  <c r="BB15" i="2"/>
  <c r="BC33" i="2"/>
  <c r="BB39" i="2"/>
  <c r="BC39" i="2"/>
  <c r="BB20" i="2"/>
  <c r="BB23" i="2"/>
  <c r="BB53" i="2"/>
  <c r="G138" i="8" l="1"/>
  <c r="R119" i="8"/>
  <c r="L138" i="8" l="1"/>
  <c r="E138" i="8"/>
  <c r="B99" i="8" l="1"/>
  <c r="B35" i="8"/>
  <c r="BB99" i="2"/>
  <c r="BC99" i="2"/>
  <c r="L99" i="8"/>
  <c r="J99" i="8"/>
  <c r="I99" i="8"/>
  <c r="H99" i="8"/>
  <c r="G99" i="8"/>
  <c r="F99" i="8"/>
  <c r="E99" i="8"/>
  <c r="D99" i="8"/>
  <c r="C99" i="8"/>
  <c r="N99" i="5"/>
  <c r="C99" i="5"/>
  <c r="B99" i="5"/>
  <c r="N99" i="4"/>
  <c r="C99" i="4"/>
  <c r="B99" i="4"/>
  <c r="N99" i="1"/>
  <c r="C99" i="1"/>
  <c r="K99" i="8" l="1"/>
  <c r="BB143" i="2" l="1"/>
  <c r="BB33" i="2" l="1"/>
  <c r="BC57" i="2" l="1"/>
  <c r="BC60" i="2"/>
  <c r="C70" i="5"/>
  <c r="B70" i="5"/>
  <c r="C70" i="4"/>
  <c r="B70" i="4"/>
  <c r="C70" i="1"/>
  <c r="B70" i="1"/>
  <c r="C138" i="5"/>
  <c r="B138" i="5"/>
  <c r="N138" i="5"/>
  <c r="O155" i="3"/>
  <c r="O155" i="1"/>
  <c r="O149" i="1"/>
  <c r="O143" i="1"/>
  <c r="O80" i="1"/>
  <c r="O53" i="1"/>
  <c r="O35" i="1"/>
  <c r="O33" i="1"/>
  <c r="O26" i="1"/>
  <c r="O23" i="1"/>
  <c r="O155" i="4"/>
  <c r="O149" i="4"/>
  <c r="O143" i="4"/>
  <c r="O80" i="4"/>
  <c r="O53" i="4"/>
  <c r="O35" i="4"/>
  <c r="O33" i="4"/>
  <c r="O26" i="4"/>
  <c r="O23" i="4"/>
  <c r="N149" i="4" l="1"/>
  <c r="C149" i="4"/>
  <c r="B149" i="4"/>
  <c r="C148" i="4"/>
  <c r="B148" i="4"/>
  <c r="C147" i="4"/>
  <c r="B147" i="4"/>
  <c r="C146" i="4"/>
  <c r="B146" i="4"/>
  <c r="C145" i="4"/>
  <c r="B145" i="4"/>
  <c r="C144" i="4"/>
  <c r="B144" i="4"/>
  <c r="N143" i="4"/>
  <c r="C143" i="4"/>
  <c r="B143" i="4"/>
  <c r="C142" i="4"/>
  <c r="B142" i="4"/>
  <c r="C139" i="4"/>
  <c r="B139" i="4"/>
  <c r="N138" i="4"/>
  <c r="C138" i="4"/>
  <c r="B138" i="4"/>
  <c r="C137" i="4"/>
  <c r="B137" i="4"/>
  <c r="C136" i="4"/>
  <c r="B136" i="4"/>
  <c r="C133" i="4"/>
  <c r="B133" i="4"/>
  <c r="C130" i="4"/>
  <c r="B130" i="4"/>
  <c r="C129" i="4"/>
  <c r="B129" i="4"/>
  <c r="C128" i="4"/>
  <c r="B128" i="4"/>
  <c r="C127" i="4"/>
  <c r="B127" i="4"/>
  <c r="C124" i="4"/>
  <c r="B124" i="4"/>
  <c r="N123" i="4"/>
  <c r="C123" i="4"/>
  <c r="B123" i="4"/>
  <c r="C122" i="4"/>
  <c r="B122" i="4"/>
  <c r="C121" i="4"/>
  <c r="B121" i="4"/>
  <c r="C120" i="4"/>
  <c r="B120" i="4"/>
  <c r="C119" i="4"/>
  <c r="B119" i="4"/>
  <c r="C118" i="4"/>
  <c r="B118" i="4"/>
  <c r="C115" i="4"/>
  <c r="B115" i="4"/>
  <c r="C114" i="4"/>
  <c r="B114" i="4"/>
  <c r="C112" i="4"/>
  <c r="B112" i="4"/>
  <c r="C111" i="4"/>
  <c r="B111" i="4"/>
  <c r="N110" i="4"/>
  <c r="C110" i="4"/>
  <c r="B110" i="4"/>
  <c r="C109" i="4"/>
  <c r="B109" i="4"/>
  <c r="C108" i="4"/>
  <c r="B108" i="4"/>
  <c r="C106" i="4"/>
  <c r="B106" i="4"/>
  <c r="C105" i="4"/>
  <c r="B105" i="4"/>
  <c r="C104" i="4"/>
  <c r="B104" i="4"/>
  <c r="C103" i="4"/>
  <c r="B103" i="4"/>
  <c r="C97" i="4"/>
  <c r="B97" i="4"/>
  <c r="C96" i="4"/>
  <c r="B96" i="4"/>
  <c r="C94" i="4"/>
  <c r="B94" i="4"/>
  <c r="C93" i="4"/>
  <c r="B93" i="4"/>
  <c r="C91" i="4"/>
  <c r="B91" i="4"/>
  <c r="C89" i="4"/>
  <c r="B89" i="4"/>
  <c r="C88" i="4"/>
  <c r="B88" i="4"/>
  <c r="C86" i="4"/>
  <c r="B86" i="4"/>
  <c r="C85" i="4"/>
  <c r="B85" i="4"/>
  <c r="C84" i="4"/>
  <c r="C82" i="4"/>
  <c r="B82" i="4"/>
  <c r="C81" i="4"/>
  <c r="B81" i="4"/>
  <c r="N80" i="4"/>
  <c r="C80" i="4"/>
  <c r="B80" i="4"/>
  <c r="C79" i="4"/>
  <c r="B79" i="4"/>
  <c r="C78" i="4"/>
  <c r="B78" i="4"/>
  <c r="C77" i="4"/>
  <c r="B77" i="4"/>
  <c r="B76" i="4"/>
  <c r="B75" i="4"/>
  <c r="N74" i="4"/>
  <c r="C74" i="4"/>
  <c r="B74" i="4"/>
  <c r="Q72" i="4"/>
  <c r="N72" i="4"/>
  <c r="B69" i="4"/>
  <c r="Q68" i="4"/>
  <c r="N68" i="4"/>
  <c r="B68" i="4"/>
  <c r="B64" i="4"/>
  <c r="C63" i="4"/>
  <c r="B63" i="4"/>
  <c r="B62" i="4"/>
  <c r="B61" i="4"/>
  <c r="K59" i="4"/>
  <c r="Q59" i="4" s="1"/>
  <c r="C59" i="4"/>
  <c r="B59" i="4"/>
  <c r="C55" i="4"/>
  <c r="B55" i="4"/>
  <c r="C54" i="4"/>
  <c r="B54" i="4"/>
  <c r="N53" i="4"/>
  <c r="C53" i="4"/>
  <c r="B53" i="4"/>
  <c r="C50" i="4"/>
  <c r="B50" i="4"/>
  <c r="N48" i="4"/>
  <c r="C48" i="4"/>
  <c r="B48" i="4"/>
  <c r="R46" i="4"/>
  <c r="C46" i="4"/>
  <c r="B46" i="4"/>
  <c r="C42" i="4"/>
  <c r="B42" i="4"/>
  <c r="C39" i="4"/>
  <c r="B39" i="4"/>
  <c r="N35" i="4"/>
  <c r="C35" i="4"/>
  <c r="B35" i="4"/>
  <c r="N33" i="4"/>
  <c r="C33" i="4"/>
  <c r="N26" i="4"/>
  <c r="C26" i="4"/>
  <c r="B26" i="4"/>
  <c r="C23" i="4"/>
  <c r="B23" i="4"/>
  <c r="C15" i="4"/>
  <c r="B15" i="4"/>
  <c r="Q13" i="4"/>
  <c r="C13" i="4"/>
  <c r="C12" i="4"/>
  <c r="B12" i="4"/>
  <c r="C8" i="4"/>
  <c r="N149" i="1"/>
  <c r="C149" i="1"/>
  <c r="B149" i="1"/>
  <c r="C148" i="1"/>
  <c r="B148" i="1"/>
  <c r="C147" i="1"/>
  <c r="B147" i="1"/>
  <c r="C146" i="1"/>
  <c r="B146" i="1"/>
  <c r="C145" i="1"/>
  <c r="B145" i="1"/>
  <c r="C144" i="1"/>
  <c r="B144" i="1"/>
  <c r="N143" i="1"/>
  <c r="C143" i="1"/>
  <c r="B143" i="1"/>
  <c r="C142" i="1"/>
  <c r="B142" i="1"/>
  <c r="C139" i="1"/>
  <c r="B139" i="1"/>
  <c r="C137" i="1"/>
  <c r="B137" i="1"/>
  <c r="C136" i="1"/>
  <c r="B136" i="1"/>
  <c r="C133" i="1"/>
  <c r="B133" i="1"/>
  <c r="C130" i="1"/>
  <c r="B130" i="1"/>
  <c r="C129" i="1"/>
  <c r="B129" i="1"/>
  <c r="C128" i="1"/>
  <c r="B128" i="1"/>
  <c r="C127" i="1"/>
  <c r="B127" i="1"/>
  <c r="C124" i="1"/>
  <c r="B124" i="1"/>
  <c r="N123" i="1"/>
  <c r="C123" i="1"/>
  <c r="B123" i="1"/>
  <c r="C122" i="1"/>
  <c r="B122" i="1"/>
  <c r="C121" i="1"/>
  <c r="B121" i="1"/>
  <c r="C120" i="1"/>
  <c r="B120" i="1"/>
  <c r="C119" i="1"/>
  <c r="B119" i="1"/>
  <c r="C118" i="1"/>
  <c r="B118" i="1"/>
  <c r="C117" i="1"/>
  <c r="B117" i="1"/>
  <c r="C115" i="1"/>
  <c r="B115" i="1"/>
  <c r="C114" i="1"/>
  <c r="B114" i="1"/>
  <c r="C112" i="1"/>
  <c r="B112" i="1"/>
  <c r="C111" i="1"/>
  <c r="B111" i="1"/>
  <c r="N110" i="1"/>
  <c r="C110" i="1"/>
  <c r="B110" i="1"/>
  <c r="C109" i="1"/>
  <c r="B109" i="1"/>
  <c r="C108" i="1"/>
  <c r="B108" i="1"/>
  <c r="C106" i="1"/>
  <c r="B106" i="1"/>
  <c r="C105" i="1"/>
  <c r="B105" i="1"/>
  <c r="C104" i="1"/>
  <c r="B104" i="1"/>
  <c r="C103" i="1"/>
  <c r="B103" i="1"/>
  <c r="C97" i="1"/>
  <c r="B97" i="1"/>
  <c r="C96" i="1"/>
  <c r="B96" i="1"/>
  <c r="C94" i="1"/>
  <c r="B94" i="1"/>
  <c r="C93" i="1"/>
  <c r="C91" i="1"/>
  <c r="B91" i="1"/>
  <c r="C89" i="1"/>
  <c r="B89" i="1"/>
  <c r="C88" i="1"/>
  <c r="B88" i="1"/>
  <c r="C86" i="1"/>
  <c r="B86" i="1"/>
  <c r="C85" i="1"/>
  <c r="B85" i="1"/>
  <c r="C84" i="1"/>
  <c r="C82" i="1"/>
  <c r="B82" i="1"/>
  <c r="C81" i="1"/>
  <c r="B81" i="1"/>
  <c r="N80" i="1"/>
  <c r="C80" i="1"/>
  <c r="B80" i="1"/>
  <c r="C79" i="1"/>
  <c r="B79" i="1"/>
  <c r="C78" i="1"/>
  <c r="B78" i="1"/>
  <c r="C77" i="1"/>
  <c r="B77" i="1"/>
  <c r="B76" i="1"/>
  <c r="B75" i="1"/>
  <c r="Q72" i="1"/>
  <c r="N72" i="1"/>
  <c r="B69" i="1"/>
  <c r="Q68" i="1"/>
  <c r="N68" i="1"/>
  <c r="B68" i="1"/>
  <c r="B64" i="1"/>
  <c r="C63" i="1"/>
  <c r="B63" i="1"/>
  <c r="B62" i="1"/>
  <c r="B61" i="1"/>
  <c r="K59" i="1"/>
  <c r="Q59" i="1" s="1"/>
  <c r="C59" i="1"/>
  <c r="B59" i="1"/>
  <c r="C55" i="1"/>
  <c r="B55" i="1"/>
  <c r="C54" i="1"/>
  <c r="B54" i="1"/>
  <c r="N53" i="1"/>
  <c r="C53" i="1"/>
  <c r="B53" i="1"/>
  <c r="C50" i="1"/>
  <c r="B50" i="1"/>
  <c r="N48" i="1"/>
  <c r="C48" i="1"/>
  <c r="B48" i="1"/>
  <c r="R46" i="1"/>
  <c r="C46" i="1"/>
  <c r="B46" i="1"/>
  <c r="C42" i="1"/>
  <c r="B42" i="1"/>
  <c r="C39" i="1"/>
  <c r="B39" i="1"/>
  <c r="N35" i="1"/>
  <c r="C35" i="1"/>
  <c r="B35" i="1"/>
  <c r="N33" i="1"/>
  <c r="C33" i="1"/>
  <c r="B33" i="1"/>
  <c r="N26" i="1"/>
  <c r="C26" i="1"/>
  <c r="B26" i="1"/>
  <c r="C23" i="1"/>
  <c r="B23" i="1"/>
  <c r="C15" i="1"/>
  <c r="B15" i="1"/>
  <c r="Q13" i="1"/>
  <c r="C13" i="1"/>
  <c r="B13" i="1"/>
  <c r="C12" i="1"/>
  <c r="B12" i="1"/>
  <c r="C8" i="1"/>
  <c r="AY99" i="2"/>
  <c r="BD99" i="2" s="1"/>
  <c r="AM99" i="2"/>
  <c r="AF99" i="2"/>
  <c r="X99" i="2"/>
  <c r="U99" i="2"/>
  <c r="N99" i="2"/>
  <c r="P99" i="2" s="1"/>
  <c r="BC35" i="2"/>
  <c r="BB35" i="2" s="1"/>
  <c r="D149" i="2"/>
  <c r="D138" i="2"/>
  <c r="D123" i="2"/>
  <c r="D119" i="2"/>
  <c r="D104" i="2"/>
  <c r="D77" i="2"/>
  <c r="D74" i="2"/>
  <c r="D60" i="2"/>
  <c r="D48" i="2"/>
  <c r="D35" i="2"/>
  <c r="D15" i="2"/>
  <c r="D12" i="2"/>
  <c r="AQ99" i="2" l="1"/>
  <c r="BE99" i="2"/>
  <c r="BF99" i="2"/>
  <c r="K99" i="3" s="1"/>
  <c r="Q99" i="3" s="1"/>
  <c r="L57" i="2"/>
  <c r="N57" i="2" s="1"/>
  <c r="R95" i="8"/>
  <c r="B95" i="8"/>
  <c r="K99" i="5" l="1"/>
  <c r="Q99" i="5" s="1"/>
  <c r="N99" i="8" s="1"/>
  <c r="K99" i="1"/>
  <c r="Q99" i="1" s="1"/>
  <c r="K99" i="4"/>
  <c r="Q99" i="4" s="1"/>
  <c r="L26" i="8"/>
  <c r="J26" i="8"/>
  <c r="I26" i="8"/>
  <c r="H26" i="8"/>
  <c r="F26" i="8"/>
  <c r="E26" i="8"/>
  <c r="D26" i="8"/>
  <c r="C26" i="8"/>
  <c r="M99" i="8" l="1"/>
  <c r="O99" i="8" s="1"/>
  <c r="B15" i="8" l="1"/>
  <c r="BC15" i="2" l="1"/>
  <c r="G26" i="8"/>
  <c r="U12" i="2"/>
  <c r="BB70" i="2" l="1"/>
  <c r="BB138" i="2"/>
  <c r="BC26" i="2" l="1"/>
  <c r="BB46" i="2"/>
  <c r="BB12" i="2" l="1"/>
  <c r="BC12" i="2"/>
  <c r="BD46" i="2" l="1"/>
  <c r="BC80" i="2"/>
  <c r="BF46" i="2" l="1"/>
  <c r="BE46" i="2"/>
  <c r="BF63" i="2"/>
  <c r="BE63" i="2"/>
  <c r="BB57" i="2"/>
  <c r="K63" i="3" l="1"/>
  <c r="Q63" i="3" s="1"/>
  <c r="K46" i="3"/>
  <c r="Q46" i="3" s="1"/>
  <c r="K63" i="4"/>
  <c r="K63" i="1"/>
  <c r="K46" i="5"/>
  <c r="R44" i="5" s="1"/>
  <c r="K46" i="4"/>
  <c r="K46" i="1"/>
  <c r="B44" i="6"/>
  <c r="AH99" i="2" s="1"/>
  <c r="B43" i="6"/>
  <c r="AH131" i="2" s="1"/>
  <c r="BB80" i="2"/>
  <c r="BB149" i="2"/>
  <c r="BB147" i="2"/>
  <c r="R61" i="3" l="1"/>
  <c r="R44" i="3"/>
  <c r="Q63" i="1"/>
  <c r="R61" i="1"/>
  <c r="Q46" i="1"/>
  <c r="R44" i="1"/>
  <c r="Q63" i="4"/>
  <c r="R61" i="4"/>
  <c r="Q46" i="4"/>
  <c r="R44" i="4"/>
  <c r="AH125" i="2"/>
  <c r="AH141" i="2"/>
  <c r="AH83" i="2"/>
  <c r="AH92" i="2"/>
  <c r="BB129" i="2"/>
  <c r="BD129" i="2" l="1"/>
  <c r="BE129" i="2" s="1"/>
  <c r="BB123" i="2"/>
  <c r="BB119" i="2"/>
  <c r="BC110" i="2"/>
  <c r="BB110" i="2"/>
  <c r="BB104" i="2"/>
  <c r="BB87" i="2"/>
  <c r="BB77" i="2" l="1"/>
  <c r="BB60" i="2"/>
  <c r="AY48" i="2"/>
  <c r="BB48" i="2" l="1"/>
  <c r="BD48" i="2" s="1"/>
  <c r="P48" i="5"/>
  <c r="R50" i="5" s="1"/>
  <c r="P48" i="1"/>
  <c r="P48" i="3"/>
  <c r="P48" i="4"/>
  <c r="X15" i="2"/>
  <c r="B52" i="6" l="1"/>
  <c r="X60" i="2" l="1"/>
  <c r="AF39" i="2" l="1"/>
  <c r="X39" i="2"/>
  <c r="BC20" i="2" l="1"/>
  <c r="AF20" i="2" l="1"/>
  <c r="X20" i="2"/>
  <c r="BC23" i="2"/>
  <c r="AF23" i="2"/>
  <c r="BC53" i="2"/>
  <c r="AF77" i="2"/>
  <c r="AF80" i="2" l="1"/>
  <c r="X80" i="2"/>
  <c r="AF87" i="2"/>
  <c r="BC104" i="2"/>
  <c r="AF104" i="2"/>
  <c r="AF149" i="2"/>
  <c r="X149" i="2"/>
  <c r="BC147" i="2"/>
  <c r="BC129" i="2"/>
  <c r="AF129" i="2"/>
  <c r="BC123" i="2" l="1"/>
  <c r="BC119" i="2" l="1"/>
  <c r="AF90" i="2"/>
  <c r="X90" i="2"/>
  <c r="U90" i="2"/>
  <c r="BC42" i="2" l="1"/>
  <c r="BB42" i="2" s="1"/>
  <c r="AF147" i="2" l="1"/>
  <c r="AF143" i="2"/>
  <c r="AF138" i="2"/>
  <c r="AF123" i="2"/>
  <c r="X147" i="2"/>
  <c r="X143" i="2"/>
  <c r="X138" i="2"/>
  <c r="X129" i="2"/>
  <c r="X123" i="2"/>
  <c r="U149" i="2"/>
  <c r="U147" i="2"/>
  <c r="U143" i="2"/>
  <c r="U138" i="2"/>
  <c r="U129" i="2"/>
  <c r="U123" i="2"/>
  <c r="AF119" i="2"/>
  <c r="AF116" i="2"/>
  <c r="AF110" i="2"/>
  <c r="X119" i="2"/>
  <c r="X116" i="2"/>
  <c r="X110" i="2"/>
  <c r="U119" i="2"/>
  <c r="U116" i="2"/>
  <c r="U110" i="2"/>
  <c r="BE48" i="2" l="1"/>
  <c r="BF48" i="2"/>
  <c r="X104" i="2"/>
  <c r="U104" i="2"/>
  <c r="K48" i="4" l="1"/>
  <c r="Q48" i="4" s="1"/>
  <c r="K48" i="3"/>
  <c r="K48" i="1"/>
  <c r="Q48" i="1" s="1"/>
  <c r="R50" i="1" s="1"/>
  <c r="X87" i="2"/>
  <c r="U87" i="2"/>
  <c r="U80" i="2"/>
  <c r="AF70" i="2"/>
  <c r="AF74" i="2"/>
  <c r="X77" i="2"/>
  <c r="X74" i="2"/>
  <c r="U77" i="2"/>
  <c r="U74" i="2"/>
  <c r="R48" i="3" l="1"/>
  <c r="Q48" i="3"/>
  <c r="R50" i="3" s="1"/>
  <c r="AF63" i="2"/>
  <c r="AF60" i="2"/>
  <c r="AF57" i="2"/>
  <c r="X70" i="2"/>
  <c r="X63" i="2"/>
  <c r="X57" i="2"/>
  <c r="U70" i="2"/>
  <c r="U63" i="2"/>
  <c r="U60" i="2"/>
  <c r="U57" i="2"/>
  <c r="AF53" i="2"/>
  <c r="X53" i="2"/>
  <c r="U53" i="2"/>
  <c r="AM48" i="2"/>
  <c r="X48" i="2"/>
  <c r="X46" i="2"/>
  <c r="U46" i="2"/>
  <c r="U48" i="2"/>
  <c r="X42" i="2"/>
  <c r="U42" i="2"/>
  <c r="Z42" i="2"/>
  <c r="AF48" i="2"/>
  <c r="AF46" i="2"/>
  <c r="AF42" i="2"/>
  <c r="U39" i="2"/>
  <c r="AF35" i="2"/>
  <c r="X35" i="2"/>
  <c r="AA35" i="2"/>
  <c r="Z35" i="2"/>
  <c r="U35" i="2"/>
  <c r="AF33" i="2"/>
  <c r="X33" i="2"/>
  <c r="AF26" i="2"/>
  <c r="X26" i="2"/>
  <c r="X23" i="2"/>
  <c r="U26" i="2"/>
  <c r="U23" i="2" l="1"/>
  <c r="AF17" i="2"/>
  <c r="AF15" i="2"/>
  <c r="AF12" i="2"/>
  <c r="AF8" i="2"/>
  <c r="AM15" i="2"/>
  <c r="X8" i="2" l="1"/>
  <c r="U33" i="2" l="1"/>
  <c r="U8" i="2" l="1"/>
  <c r="U15" i="2"/>
  <c r="U20" i="2" l="1"/>
  <c r="L15" i="8"/>
  <c r="K15" i="8"/>
  <c r="J15" i="8"/>
  <c r="I15" i="8"/>
  <c r="H15" i="8"/>
  <c r="G15" i="8"/>
  <c r="F15" i="8"/>
  <c r="E15" i="8"/>
  <c r="D15" i="8"/>
  <c r="C15" i="8"/>
  <c r="C15" i="5"/>
  <c r="B15" i="5"/>
  <c r="AY15" i="2"/>
  <c r="BD15" i="2" s="1"/>
  <c r="N15" i="2"/>
  <c r="P15" i="2" s="1"/>
  <c r="AQ15" i="2" s="1"/>
  <c r="BF15" i="2" l="1"/>
  <c r="BE15" i="2"/>
  <c r="D27" i="6"/>
  <c r="C27" i="6"/>
  <c r="C4" i="6"/>
  <c r="K15" i="3" l="1"/>
  <c r="Q15" i="3" s="1"/>
  <c r="K15" i="5"/>
  <c r="K15" i="4"/>
  <c r="Q15" i="4" s="1"/>
  <c r="K15" i="1"/>
  <c r="Q15" i="1" s="1"/>
  <c r="L42" i="2"/>
  <c r="C31" i="6"/>
  <c r="N26" i="5"/>
  <c r="C26" i="5"/>
  <c r="B26" i="5"/>
  <c r="K26" i="8" l="1"/>
  <c r="AK23" i="2"/>
  <c r="AK42" i="2"/>
  <c r="AK39" i="2"/>
  <c r="AK123" i="2"/>
  <c r="AK33" i="2"/>
  <c r="AK20" i="2"/>
  <c r="D63" i="2" l="1"/>
  <c r="AY26" i="2" l="1"/>
  <c r="AM26" i="2"/>
  <c r="N26" i="2"/>
  <c r="P26" i="2" s="1"/>
  <c r="AQ26" i="2" s="1"/>
  <c r="AH26" i="2" s="1"/>
  <c r="BD26" i="2" l="1"/>
  <c r="BF26" i="2" l="1"/>
  <c r="BE26" i="2"/>
  <c r="K26" i="3" l="1"/>
  <c r="Q26" i="3" s="1"/>
  <c r="K26" i="4"/>
  <c r="Q26" i="4" s="1"/>
  <c r="K26" i="1"/>
  <c r="Q26" i="1" s="1"/>
  <c r="K26" i="5"/>
  <c r="Q26" i="5" s="1"/>
  <c r="N26" i="8" s="1"/>
  <c r="M26" i="8" l="1"/>
  <c r="O26" i="8" s="1"/>
  <c r="N33" i="5" l="1"/>
  <c r="C33" i="5"/>
  <c r="B33" i="5"/>
  <c r="L48" i="8" l="1"/>
  <c r="C138" i="8" l="1"/>
  <c r="B138" i="8"/>
  <c r="C50" i="5" l="1"/>
  <c r="B50" i="5"/>
  <c r="N48" i="5"/>
  <c r="C48" i="5"/>
  <c r="B48" i="5"/>
  <c r="AY138" i="2" l="1"/>
  <c r="AM138" i="2"/>
  <c r="N138" i="2"/>
  <c r="P138" i="2" s="1"/>
  <c r="AQ138" i="2" s="1"/>
  <c r="AH138" i="2" s="1"/>
  <c r="J116" i="8"/>
  <c r="I116" i="8"/>
  <c r="H116" i="8"/>
  <c r="G116" i="8"/>
  <c r="F116" i="8"/>
  <c r="E116" i="8"/>
  <c r="D116" i="8"/>
  <c r="C116" i="8"/>
  <c r="B116" i="8"/>
  <c r="BD138" i="2" l="1"/>
  <c r="K116" i="8"/>
  <c r="BF138" i="2" l="1"/>
  <c r="BE138" i="2"/>
  <c r="K138" i="3" l="1"/>
  <c r="Q138" i="3" s="1"/>
  <c r="K138" i="1"/>
  <c r="Q138" i="1" s="1"/>
  <c r="K138" i="5"/>
  <c r="Q138" i="5" s="1"/>
  <c r="N138" i="8" s="1"/>
  <c r="K138" i="4"/>
  <c r="Q138" i="4" s="1"/>
  <c r="AY116" i="2" l="1"/>
  <c r="BD116" i="2" s="1"/>
  <c r="AM116" i="2"/>
  <c r="N116" i="2"/>
  <c r="P116" i="2" s="1"/>
  <c r="AQ116" i="2" s="1"/>
  <c r="AH116" i="2" s="1"/>
  <c r="BE116" i="2" l="1"/>
  <c r="BF116" i="2"/>
  <c r="K116" i="3" l="1"/>
  <c r="Q116" i="3" s="1"/>
  <c r="K116" i="4"/>
  <c r="Q116" i="4" s="1"/>
  <c r="K116" i="1"/>
  <c r="Q116" i="1" s="1"/>
  <c r="K116" i="5"/>
  <c r="N17" i="5" l="1"/>
  <c r="C17" i="5"/>
  <c r="B17" i="5"/>
  <c r="C39" i="5"/>
  <c r="B39" i="5"/>
  <c r="N149" i="5"/>
  <c r="C149" i="5"/>
  <c r="N87" i="5"/>
  <c r="C87" i="5"/>
  <c r="B87" i="5"/>
  <c r="D46" i="2" l="1"/>
  <c r="H20" i="8" l="1"/>
  <c r="C20" i="8"/>
  <c r="D20" i="8"/>
  <c r="E20" i="8"/>
  <c r="F20" i="8"/>
  <c r="G20" i="8"/>
  <c r="I20" i="8"/>
  <c r="J20" i="8"/>
  <c r="J33" i="8" l="1"/>
  <c r="I33" i="8"/>
  <c r="H33" i="8"/>
  <c r="G33" i="8"/>
  <c r="F33" i="8"/>
  <c r="E33" i="8"/>
  <c r="D33" i="8"/>
  <c r="C33" i="8"/>
  <c r="B33" i="8"/>
  <c r="N48" i="2" l="1"/>
  <c r="P48" i="2" s="1"/>
  <c r="AQ48" i="2" s="1"/>
  <c r="K48" i="5" l="1"/>
  <c r="R48" i="5" s="1"/>
  <c r="Q48" i="5" l="1"/>
  <c r="N48" i="8" s="1"/>
  <c r="L33" i="8" l="1"/>
  <c r="K33" i="8"/>
  <c r="Q155" i="8"/>
  <c r="C96" i="5" l="1"/>
  <c r="B96" i="5"/>
  <c r="L80" i="8"/>
  <c r="J80" i="8"/>
  <c r="I80" i="8"/>
  <c r="H80" i="8"/>
  <c r="G80" i="8"/>
  <c r="F80" i="8"/>
  <c r="E80" i="8"/>
  <c r="D80" i="8"/>
  <c r="C80" i="8"/>
  <c r="B80" i="8"/>
  <c r="N80" i="5"/>
  <c r="C80" i="5"/>
  <c r="B80" i="5"/>
  <c r="K80" i="8" l="1"/>
  <c r="B60" i="8" l="1"/>
  <c r="C60" i="8"/>
  <c r="D60" i="8"/>
  <c r="E60" i="8"/>
  <c r="F60" i="8"/>
  <c r="G60" i="8"/>
  <c r="H60" i="8"/>
  <c r="I60" i="8"/>
  <c r="J60" i="8"/>
  <c r="K60" i="8"/>
  <c r="AY80" i="2" l="1"/>
  <c r="N80" i="2"/>
  <c r="P80" i="2" s="1"/>
  <c r="BD80" i="2" l="1"/>
  <c r="BE80" i="2" l="1"/>
  <c r="BF80" i="2"/>
  <c r="K80" i="3" l="1"/>
  <c r="Q80" i="3" s="1"/>
  <c r="K80" i="1"/>
  <c r="Q80" i="1" s="1"/>
  <c r="K80" i="4"/>
  <c r="Q80" i="4" s="1"/>
  <c r="K80" i="5"/>
  <c r="Q80" i="5" s="1"/>
  <c r="N80" i="8" s="1"/>
  <c r="L60" i="8"/>
  <c r="M80" i="8" l="1"/>
  <c r="O80" i="8" s="1"/>
  <c r="AY33" i="2" l="1"/>
  <c r="BD33" i="2" s="1"/>
  <c r="AM33" i="2"/>
  <c r="N33" i="2"/>
  <c r="C46" i="5"/>
  <c r="B46" i="5"/>
  <c r="P33" i="2" l="1"/>
  <c r="AQ33" i="2" s="1"/>
  <c r="BF33" i="2" l="1"/>
  <c r="BE33" i="2"/>
  <c r="K33" i="3" l="1"/>
  <c r="Q33" i="3" s="1"/>
  <c r="K33" i="1"/>
  <c r="Q33" i="1" s="1"/>
  <c r="K33" i="4"/>
  <c r="Q33" i="4" s="1"/>
  <c r="K33" i="5"/>
  <c r="Q33" i="5" s="1"/>
  <c r="N33" i="8" s="1"/>
  <c r="AM46" i="2"/>
  <c r="M33" i="8" l="1"/>
  <c r="O33" i="8" s="1"/>
  <c r="K134" i="8"/>
  <c r="J134" i="8"/>
  <c r="I134" i="8"/>
  <c r="H134" i="8"/>
  <c r="G134" i="8"/>
  <c r="F134" i="8"/>
  <c r="E134" i="8"/>
  <c r="D134" i="8"/>
  <c r="C134" i="8"/>
  <c r="B134" i="8"/>
  <c r="K46" i="8" l="1"/>
  <c r="J46" i="8"/>
  <c r="I46" i="8"/>
  <c r="H46" i="8"/>
  <c r="G46" i="8"/>
  <c r="F46" i="8"/>
  <c r="E46" i="8"/>
  <c r="D46" i="8"/>
  <c r="C46" i="8"/>
  <c r="B46" i="8"/>
  <c r="N46" i="2"/>
  <c r="P46" i="2" s="1"/>
  <c r="Q46" i="5" l="1"/>
  <c r="N46" i="8" s="1"/>
  <c r="L46" i="8"/>
  <c r="M46" i="8" l="1"/>
  <c r="O46" i="8" s="1"/>
  <c r="P46" i="8" s="1"/>
  <c r="N134" i="8" l="1"/>
  <c r="L134" i="8"/>
  <c r="M134" i="8" l="1"/>
  <c r="O134" i="8" s="1"/>
  <c r="P135" i="8" s="1"/>
  <c r="D44" i="2" l="1"/>
  <c r="AM60" i="2" l="1"/>
  <c r="AY60" i="2"/>
  <c r="BD60" i="2" s="1"/>
  <c r="N60" i="2"/>
  <c r="P60" i="2" s="1"/>
  <c r="AQ60" i="2" s="1"/>
  <c r="BE60" i="2" l="1"/>
  <c r="BF60" i="2"/>
  <c r="N60" i="8" l="1"/>
  <c r="M60" i="8"/>
  <c r="C77" i="5"/>
  <c r="B77" i="5"/>
  <c r="O60" i="8" l="1"/>
  <c r="P60" i="8" s="1"/>
  <c r="N57" i="5" l="1"/>
  <c r="C57" i="5"/>
  <c r="B57" i="5"/>
  <c r="BF129" i="2" l="1"/>
  <c r="K129" i="3" s="1"/>
  <c r="Q129" i="3" s="1"/>
  <c r="K129" i="1" l="1"/>
  <c r="Q129" i="1" s="1"/>
  <c r="K129" i="4"/>
  <c r="Q129" i="4" s="1"/>
  <c r="R48" i="1" l="1"/>
  <c r="R50" i="4" s="1"/>
  <c r="R48" i="4" s="1"/>
  <c r="K155" i="5"/>
  <c r="K129" i="5"/>
  <c r="K155" i="4"/>
  <c r="K155" i="1"/>
  <c r="M138" i="8"/>
  <c r="O138" i="8" s="1"/>
  <c r="C8" i="5" l="1"/>
  <c r="L8" i="8" l="1"/>
  <c r="K8" i="8"/>
  <c r="J8" i="8"/>
  <c r="I8" i="8"/>
  <c r="H8" i="8"/>
  <c r="G8" i="8"/>
  <c r="F8" i="8"/>
  <c r="E8" i="8"/>
  <c r="D8" i="8"/>
  <c r="C8" i="8"/>
  <c r="AY8" i="2"/>
  <c r="BD8" i="2" s="1"/>
  <c r="AM8" i="2"/>
  <c r="N8" i="2"/>
  <c r="P8" i="2" s="1"/>
  <c r="AQ8" i="2" s="1"/>
  <c r="N155" i="5"/>
  <c r="C155" i="5"/>
  <c r="B155" i="5"/>
  <c r="N155" i="4"/>
  <c r="C155" i="4"/>
  <c r="B155" i="4"/>
  <c r="N155" i="1"/>
  <c r="C155" i="1"/>
  <c r="B155" i="1"/>
  <c r="BE8" i="2" l="1"/>
  <c r="BF8" i="2"/>
  <c r="K8" i="3" l="1"/>
  <c r="Q8" i="3" s="1"/>
  <c r="K8" i="5"/>
  <c r="Q8" i="5" s="1"/>
  <c r="N8" i="8" s="1"/>
  <c r="K8" i="4"/>
  <c r="Q8" i="4" s="1"/>
  <c r="K8" i="1"/>
  <c r="Q8" i="1" s="1"/>
  <c r="L17" i="8"/>
  <c r="J17" i="8"/>
  <c r="I17" i="8"/>
  <c r="H17" i="8"/>
  <c r="G17" i="8"/>
  <c r="F17" i="8"/>
  <c r="E17" i="8"/>
  <c r="D17" i="8"/>
  <c r="C17" i="8"/>
  <c r="B17" i="8"/>
  <c r="M8" i="8" l="1"/>
  <c r="O8" i="8" s="1"/>
  <c r="K17" i="8"/>
  <c r="BB17" i="2" l="1"/>
  <c r="AY17" i="2"/>
  <c r="AM17" i="2"/>
  <c r="N17" i="2"/>
  <c r="P17" i="2" s="1"/>
  <c r="Q155" i="1" l="1"/>
  <c r="Q155" i="5"/>
  <c r="Q155" i="4"/>
  <c r="K17" i="5" l="1"/>
  <c r="Q17" i="5" s="1"/>
  <c r="N17" i="8" s="1"/>
  <c r="M17" i="8" l="1"/>
  <c r="O17" i="8" s="1"/>
  <c r="L155" i="8" l="1"/>
  <c r="J155" i="8"/>
  <c r="I155" i="8"/>
  <c r="H155" i="8"/>
  <c r="G155" i="8"/>
  <c r="F155" i="8"/>
  <c r="E155" i="8"/>
  <c r="D155" i="8"/>
  <c r="C155" i="8"/>
  <c r="K155" i="8" l="1"/>
  <c r="M155" i="8"/>
  <c r="N143" i="5" l="1"/>
  <c r="K138" i="8"/>
  <c r="C104" i="5" l="1"/>
  <c r="B104" i="5"/>
  <c r="L149" i="8"/>
  <c r="K149" i="8"/>
  <c r="J149" i="8"/>
  <c r="I149" i="8"/>
  <c r="H149" i="8"/>
  <c r="G149" i="8"/>
  <c r="F149" i="8"/>
  <c r="E149" i="8"/>
  <c r="D149" i="8"/>
  <c r="C149" i="8"/>
  <c r="B149" i="8"/>
  <c r="C147" i="5"/>
  <c r="B147" i="5"/>
  <c r="C146" i="5"/>
  <c r="B146" i="5"/>
  <c r="C145" i="5"/>
  <c r="B145" i="5"/>
  <c r="C144" i="5"/>
  <c r="B144" i="5"/>
  <c r="C143" i="5"/>
  <c r="B143" i="5"/>
  <c r="C142" i="5"/>
  <c r="B142" i="5"/>
  <c r="AY149" i="2" l="1"/>
  <c r="BD149" i="2" s="1"/>
  <c r="AM149" i="2"/>
  <c r="N149" i="2"/>
  <c r="P149" i="2" s="1"/>
  <c r="AQ149" i="2" s="1"/>
  <c r="BF149" i="2" l="1"/>
  <c r="BE149" i="2"/>
  <c r="L147" i="8"/>
  <c r="K147" i="8"/>
  <c r="J147" i="8"/>
  <c r="I147" i="8"/>
  <c r="H147" i="8"/>
  <c r="G147" i="8"/>
  <c r="F147" i="8"/>
  <c r="E147" i="8"/>
  <c r="D147" i="8"/>
  <c r="C147" i="8"/>
  <c r="B147" i="8"/>
  <c r="L143" i="8"/>
  <c r="K143" i="8"/>
  <c r="J143" i="8"/>
  <c r="I143" i="8"/>
  <c r="H143" i="8"/>
  <c r="G143" i="8"/>
  <c r="F143" i="8"/>
  <c r="E143" i="8"/>
  <c r="D143" i="8"/>
  <c r="C143" i="8"/>
  <c r="B143" i="8"/>
  <c r="AY147" i="2"/>
  <c r="BD147" i="2" s="1"/>
  <c r="AM147" i="2"/>
  <c r="N147" i="2"/>
  <c r="P147" i="2" s="1"/>
  <c r="AY143" i="2"/>
  <c r="BD143" i="2" s="1"/>
  <c r="AM143" i="2"/>
  <c r="N143" i="2"/>
  <c r="P143" i="2" s="1"/>
  <c r="K149" i="3" l="1"/>
  <c r="Q149" i="3" s="1"/>
  <c r="BE143" i="2"/>
  <c r="K149" i="5"/>
  <c r="Q149" i="5" s="1"/>
  <c r="N149" i="8" s="1"/>
  <c r="BF143" i="2"/>
  <c r="K143" i="3" s="1"/>
  <c r="Q143" i="3" s="1"/>
  <c r="K149" i="4"/>
  <c r="Q149" i="4" s="1"/>
  <c r="BE147" i="2"/>
  <c r="K149" i="1"/>
  <c r="Q149" i="1" s="1"/>
  <c r="BF147" i="2"/>
  <c r="K147" i="3" l="1"/>
  <c r="Q147" i="3" s="1"/>
  <c r="K147" i="1"/>
  <c r="Q147" i="1" s="1"/>
  <c r="M149" i="8"/>
  <c r="O149" i="8" s="1"/>
  <c r="K147" i="4"/>
  <c r="Q147" i="4" s="1"/>
  <c r="K147" i="5"/>
  <c r="Q147" i="5" s="1"/>
  <c r="N147" i="8" s="1"/>
  <c r="K143" i="4" l="1"/>
  <c r="Q143" i="4" s="1"/>
  <c r="K143" i="1"/>
  <c r="Q143" i="1" s="1"/>
  <c r="K143" i="5"/>
  <c r="Q143" i="5" s="1"/>
  <c r="N143" i="8" s="1"/>
  <c r="M147" i="8"/>
  <c r="O147" i="8" s="1"/>
  <c r="C133" i="5"/>
  <c r="B133" i="5"/>
  <c r="M143" i="8" l="1"/>
  <c r="O143" i="8" s="1"/>
  <c r="O16" i="2" l="1"/>
  <c r="L129" i="8"/>
  <c r="K129" i="8"/>
  <c r="J129" i="8"/>
  <c r="I129" i="8"/>
  <c r="H129" i="8"/>
  <c r="G129" i="8"/>
  <c r="F129" i="8"/>
  <c r="E129" i="8"/>
  <c r="D129" i="8"/>
  <c r="C129" i="8"/>
  <c r="B129" i="8"/>
  <c r="L123" i="8"/>
  <c r="J123" i="8"/>
  <c r="I123" i="8"/>
  <c r="H123" i="8"/>
  <c r="G123" i="8"/>
  <c r="F123" i="8"/>
  <c r="E123" i="8"/>
  <c r="D123" i="8"/>
  <c r="C123" i="8"/>
  <c r="B123" i="8"/>
  <c r="L119" i="8"/>
  <c r="J119" i="8"/>
  <c r="I119" i="8"/>
  <c r="H119" i="8"/>
  <c r="G119" i="8"/>
  <c r="F119" i="8"/>
  <c r="E119" i="8"/>
  <c r="D119" i="8"/>
  <c r="C119" i="8"/>
  <c r="L110" i="8"/>
  <c r="J110" i="8"/>
  <c r="I110" i="8"/>
  <c r="H110" i="8"/>
  <c r="G110" i="8"/>
  <c r="F110" i="8"/>
  <c r="E110" i="8"/>
  <c r="D110" i="8"/>
  <c r="C110" i="8"/>
  <c r="B110" i="8"/>
  <c r="L104" i="8"/>
  <c r="J104" i="8"/>
  <c r="I104" i="8"/>
  <c r="H104" i="8"/>
  <c r="G104" i="8"/>
  <c r="F104" i="8"/>
  <c r="E104" i="8"/>
  <c r="D104" i="8"/>
  <c r="C104" i="8"/>
  <c r="B104" i="8"/>
  <c r="L87" i="8"/>
  <c r="J87" i="8"/>
  <c r="I87" i="8"/>
  <c r="H87" i="8"/>
  <c r="G87" i="8"/>
  <c r="F87" i="8"/>
  <c r="E87" i="8"/>
  <c r="D87" i="8"/>
  <c r="C87" i="8"/>
  <c r="C129" i="5"/>
  <c r="B129" i="5"/>
  <c r="C128" i="5"/>
  <c r="B128" i="5"/>
  <c r="C127" i="5"/>
  <c r="B127" i="5"/>
  <c r="C124" i="5"/>
  <c r="B124" i="5"/>
  <c r="N123" i="5"/>
  <c r="C123" i="5"/>
  <c r="B123" i="5"/>
  <c r="C122" i="5"/>
  <c r="B122" i="5"/>
  <c r="C121" i="5"/>
  <c r="B121" i="5"/>
  <c r="C120" i="5"/>
  <c r="B120" i="5"/>
  <c r="C119" i="5"/>
  <c r="B119" i="5"/>
  <c r="C118" i="5"/>
  <c r="B118" i="5"/>
  <c r="N117" i="5"/>
  <c r="C117" i="5"/>
  <c r="B117" i="5"/>
  <c r="C115" i="5"/>
  <c r="B115" i="5"/>
  <c r="C114" i="5"/>
  <c r="B114" i="5"/>
  <c r="C112" i="5"/>
  <c r="B112" i="5"/>
  <c r="C111" i="5"/>
  <c r="B111" i="5"/>
  <c r="N110" i="5"/>
  <c r="C110" i="5"/>
  <c r="B110" i="5"/>
  <c r="C109" i="5"/>
  <c r="B109" i="5"/>
  <c r="C108" i="5"/>
  <c r="B108" i="5"/>
  <c r="C106" i="5"/>
  <c r="B106" i="5"/>
  <c r="C105" i="5"/>
  <c r="B105" i="5"/>
  <c r="C103" i="5"/>
  <c r="B103" i="5"/>
  <c r="C97" i="5"/>
  <c r="B97" i="5"/>
  <c r="C94" i="5"/>
  <c r="B94" i="5"/>
  <c r="C93" i="5"/>
  <c r="B93" i="5"/>
  <c r="C91" i="5"/>
  <c r="B91" i="5"/>
  <c r="C89" i="5"/>
  <c r="B89" i="5"/>
  <c r="C88" i="5"/>
  <c r="B88" i="5"/>
  <c r="C86" i="5"/>
  <c r="B86" i="5"/>
  <c r="C85" i="5"/>
  <c r="B85" i="5"/>
  <c r="C84" i="5"/>
  <c r="C82" i="5"/>
  <c r="B82" i="5"/>
  <c r="C81" i="5"/>
  <c r="B81" i="5"/>
  <c r="C79" i="5"/>
  <c r="B79" i="5"/>
  <c r="C78" i="5"/>
  <c r="B78" i="5"/>
  <c r="B76" i="5"/>
  <c r="B75" i="5"/>
  <c r="N72" i="5"/>
  <c r="K72" i="5"/>
  <c r="Q72" i="5" s="1"/>
  <c r="B69" i="5"/>
  <c r="N68" i="5"/>
  <c r="K68" i="5"/>
  <c r="Q68" i="5" s="1"/>
  <c r="B68" i="5"/>
  <c r="B64" i="5"/>
  <c r="C63" i="5"/>
  <c r="B62" i="5"/>
  <c r="B61" i="5"/>
  <c r="C55" i="5"/>
  <c r="B55" i="5"/>
  <c r="C54" i="5"/>
  <c r="B54" i="5"/>
  <c r="N53" i="5"/>
  <c r="C53" i="5"/>
  <c r="B53" i="5"/>
  <c r="C42" i="5"/>
  <c r="B42" i="5"/>
  <c r="N35" i="5"/>
  <c r="C35" i="5"/>
  <c r="B35" i="5"/>
  <c r="C23" i="5"/>
  <c r="B23" i="5"/>
  <c r="K13" i="5"/>
  <c r="Q13" i="5" s="1"/>
  <c r="C13" i="5"/>
  <c r="B13" i="5"/>
  <c r="C12" i="5"/>
  <c r="K104" i="8" l="1"/>
  <c r="K110" i="8"/>
  <c r="K119" i="8"/>
  <c r="K87" i="8"/>
  <c r="K123" i="8"/>
  <c r="AY129" i="2"/>
  <c r="AM129" i="2"/>
  <c r="N129" i="2"/>
  <c r="P129" i="2" s="1"/>
  <c r="AY123" i="2"/>
  <c r="BD123" i="2" s="1"/>
  <c r="AM123" i="2"/>
  <c r="N123" i="2"/>
  <c r="P123" i="2" s="1"/>
  <c r="AQ123" i="2" s="1"/>
  <c r="AY119" i="2"/>
  <c r="BD119" i="2" s="1"/>
  <c r="AM119" i="2"/>
  <c r="N119" i="2"/>
  <c r="P119" i="2" s="1"/>
  <c r="AQ119" i="2" s="1"/>
  <c r="AY110" i="2"/>
  <c r="BD110" i="2" s="1"/>
  <c r="AM110" i="2"/>
  <c r="N110" i="2"/>
  <c r="P110" i="2" s="1"/>
  <c r="AY104" i="2"/>
  <c r="AM104" i="2"/>
  <c r="N104" i="2"/>
  <c r="P104" i="2" s="1"/>
  <c r="AQ104" i="2" s="1"/>
  <c r="BE123" i="2" l="1"/>
  <c r="BE110" i="2"/>
  <c r="BE119" i="2"/>
  <c r="BD104" i="2"/>
  <c r="BF119" i="2"/>
  <c r="BF110" i="2"/>
  <c r="K110" i="3" s="1"/>
  <c r="Q110" i="3" s="1"/>
  <c r="BF123" i="2"/>
  <c r="Q129" i="5"/>
  <c r="N129" i="8" s="1"/>
  <c r="K119" i="3" l="1"/>
  <c r="Q119" i="3" s="1"/>
  <c r="K123" i="3"/>
  <c r="Q123" i="3" s="1"/>
  <c r="K123" i="1"/>
  <c r="Q123" i="1" s="1"/>
  <c r="K119" i="1"/>
  <c r="Q119" i="1" s="1"/>
  <c r="K123" i="4"/>
  <c r="Q123" i="4" s="1"/>
  <c r="K110" i="4"/>
  <c r="Q110" i="4" s="1"/>
  <c r="K110" i="1"/>
  <c r="Q110" i="1" s="1"/>
  <c r="K119" i="4"/>
  <c r="Q119" i="4" s="1"/>
  <c r="BF104" i="2"/>
  <c r="BE104" i="2"/>
  <c r="K110" i="5"/>
  <c r="Q110" i="5" s="1"/>
  <c r="N110" i="8" s="1"/>
  <c r="K123" i="5"/>
  <c r="Q123" i="5" s="1"/>
  <c r="N123" i="8" s="1"/>
  <c r="K119" i="5"/>
  <c r="Q119" i="5" s="1"/>
  <c r="N119" i="8" s="1"/>
  <c r="M129" i="8"/>
  <c r="O129" i="8" s="1"/>
  <c r="K104" i="3" l="1"/>
  <c r="Q104" i="3" s="1"/>
  <c r="K104" i="4"/>
  <c r="Q104" i="4" s="1"/>
  <c r="K104" i="1"/>
  <c r="Q104" i="1" s="1"/>
  <c r="K104" i="5"/>
  <c r="Q104" i="5" s="1"/>
  <c r="N104" i="8" s="1"/>
  <c r="M119" i="8"/>
  <c r="O119" i="8" s="1"/>
  <c r="M110" i="8"/>
  <c r="O110" i="8" s="1"/>
  <c r="M123" i="8"/>
  <c r="O123" i="8" s="1"/>
  <c r="M104" i="8" l="1"/>
  <c r="O104" i="8" s="1"/>
  <c r="N51" i="8"/>
  <c r="AY90" i="2" l="1"/>
  <c r="BD90" i="2" s="1"/>
  <c r="AM90" i="2"/>
  <c r="AQ90" i="2"/>
  <c r="AY87" i="2"/>
  <c r="BD87" i="2" s="1"/>
  <c r="AM87" i="2"/>
  <c r="N87" i="2"/>
  <c r="P87" i="2" s="1"/>
  <c r="AQ87" i="2" s="1"/>
  <c r="BF90" i="2" l="1"/>
  <c r="BE90" i="2"/>
  <c r="BE87" i="2"/>
  <c r="BF87" i="2"/>
  <c r="K87" i="3" s="1"/>
  <c r="Q87" i="3" s="1"/>
  <c r="K90" i="3" l="1"/>
  <c r="Q90" i="3" s="1"/>
  <c r="K87" i="1"/>
  <c r="Q87" i="1" s="1"/>
  <c r="K87" i="4"/>
  <c r="Q87" i="4" s="1"/>
  <c r="K90" i="5"/>
  <c r="Q90" i="5" s="1"/>
  <c r="N90" i="8" s="1"/>
  <c r="K90" i="1"/>
  <c r="Q90" i="1" s="1"/>
  <c r="K90" i="4"/>
  <c r="Q90" i="4" s="1"/>
  <c r="K87" i="5"/>
  <c r="Q87" i="5" s="1"/>
  <c r="N87" i="8" s="1"/>
  <c r="M51" i="8"/>
  <c r="O51" i="8" s="1"/>
  <c r="M90" i="8" l="1"/>
  <c r="O90" i="8" s="1"/>
  <c r="M87" i="8"/>
  <c r="O87" i="8" s="1"/>
  <c r="J48" i="8" l="1"/>
  <c r="I48" i="8"/>
  <c r="H48" i="8"/>
  <c r="G48" i="8"/>
  <c r="F48" i="8"/>
  <c r="E48" i="8"/>
  <c r="D48" i="8"/>
  <c r="C48" i="8"/>
  <c r="B48" i="8"/>
  <c r="L77" i="8"/>
  <c r="K77" i="8"/>
  <c r="J77" i="8"/>
  <c r="I77" i="8"/>
  <c r="H77" i="8"/>
  <c r="G77" i="8"/>
  <c r="F77" i="8"/>
  <c r="E77" i="8"/>
  <c r="D77" i="8"/>
  <c r="C77" i="8"/>
  <c r="B77" i="8"/>
  <c r="AY77" i="2"/>
  <c r="BD77" i="2" s="1"/>
  <c r="N77" i="2"/>
  <c r="P77" i="2" s="1"/>
  <c r="AQ77" i="2" s="1"/>
  <c r="L74" i="8"/>
  <c r="K74" i="8"/>
  <c r="J74" i="8"/>
  <c r="I74" i="8"/>
  <c r="H74" i="8"/>
  <c r="G74" i="8"/>
  <c r="F74" i="8"/>
  <c r="E74" i="8"/>
  <c r="D74" i="8"/>
  <c r="C74" i="8"/>
  <c r="AY74" i="2"/>
  <c r="BD74" i="2" s="1"/>
  <c r="N74" i="2"/>
  <c r="P74" i="2" s="1"/>
  <c r="AQ74" i="2" s="1"/>
  <c r="BF74" i="2" l="1"/>
  <c r="BE74" i="2"/>
  <c r="BF77" i="2"/>
  <c r="BE77" i="2"/>
  <c r="K74" i="3" l="1"/>
  <c r="Q74" i="3" s="1"/>
  <c r="K77" i="3"/>
  <c r="Q77" i="3" s="1"/>
  <c r="K74" i="5"/>
  <c r="Q74" i="5" s="1"/>
  <c r="K74" i="1"/>
  <c r="Q74" i="1" s="1"/>
  <c r="K77" i="4"/>
  <c r="Q77" i="4" s="1"/>
  <c r="K77" i="1"/>
  <c r="Q77" i="1" s="1"/>
  <c r="K77" i="5"/>
  <c r="Q77" i="5" s="1"/>
  <c r="K74" i="4"/>
  <c r="Q74" i="4" s="1"/>
  <c r="K48" i="8"/>
  <c r="N77" i="8" l="1"/>
  <c r="N74" i="8"/>
  <c r="M77" i="8"/>
  <c r="M48" i="8"/>
  <c r="O48" i="8" s="1"/>
  <c r="P48" i="8" s="1"/>
  <c r="O77" i="8" l="1"/>
  <c r="P78" i="8" s="1"/>
  <c r="M74" i="8"/>
  <c r="O74" i="8" s="1"/>
  <c r="K63" i="8"/>
  <c r="J63" i="8" l="1"/>
  <c r="I63" i="8"/>
  <c r="H63" i="8"/>
  <c r="G63" i="8"/>
  <c r="F63" i="8"/>
  <c r="E63" i="8"/>
  <c r="D63" i="8"/>
  <c r="C63" i="8"/>
  <c r="B63" i="8"/>
  <c r="K63" i="5" l="1"/>
  <c r="L63" i="8"/>
  <c r="AM63" i="2"/>
  <c r="N63" i="2"/>
  <c r="P63" i="2" s="1"/>
  <c r="Q63" i="5" l="1"/>
  <c r="N63" i="8" s="1"/>
  <c r="R61" i="5"/>
  <c r="M63" i="8" l="1"/>
  <c r="O63" i="8" s="1"/>
  <c r="P63" i="8" s="1"/>
  <c r="L12" i="8"/>
  <c r="K12" i="8"/>
  <c r="J12" i="8"/>
  <c r="I12" i="8"/>
  <c r="H12" i="8"/>
  <c r="G12" i="8"/>
  <c r="F12" i="8"/>
  <c r="E12" i="8"/>
  <c r="D12" i="8"/>
  <c r="C12" i="8"/>
  <c r="B12" i="8"/>
  <c r="AY12" i="2"/>
  <c r="BD12" i="2" s="1"/>
  <c r="AM12" i="2"/>
  <c r="N12" i="2"/>
  <c r="P12" i="2" s="1"/>
  <c r="BF12" i="2" l="1"/>
  <c r="BE12" i="2"/>
  <c r="L39" i="8"/>
  <c r="J39" i="8"/>
  <c r="I39" i="8"/>
  <c r="H39" i="8"/>
  <c r="G39" i="8"/>
  <c r="F39" i="8"/>
  <c r="E39" i="8"/>
  <c r="D39" i="8"/>
  <c r="C39" i="8"/>
  <c r="B39" i="8"/>
  <c r="AY39" i="2"/>
  <c r="BD39" i="2" s="1"/>
  <c r="AM39" i="2"/>
  <c r="N39" i="2"/>
  <c r="P39" i="2" s="1"/>
  <c r="AQ39" i="2" s="1"/>
  <c r="L57" i="8"/>
  <c r="J57" i="8"/>
  <c r="I57" i="8"/>
  <c r="H57" i="8"/>
  <c r="G57" i="8"/>
  <c r="F57" i="8"/>
  <c r="E57" i="8"/>
  <c r="D57" i="8"/>
  <c r="C57" i="8"/>
  <c r="B57" i="8"/>
  <c r="K12" i="3" l="1"/>
  <c r="Q12" i="3" s="1"/>
  <c r="BE39" i="2"/>
  <c r="K12" i="1"/>
  <c r="Q12" i="1" s="1"/>
  <c r="K12" i="4"/>
  <c r="Q12" i="4" s="1"/>
  <c r="K12" i="5"/>
  <c r="Q12" i="5" s="1"/>
  <c r="N12" i="8" s="1"/>
  <c r="M12" i="8" l="1"/>
  <c r="O12" i="8" s="1"/>
  <c r="BF39" i="2"/>
  <c r="K39" i="3" s="1"/>
  <c r="Q39" i="3" s="1"/>
  <c r="K39" i="4" l="1"/>
  <c r="Q39" i="4" s="1"/>
  <c r="K39" i="1"/>
  <c r="Q39" i="1" s="1"/>
  <c r="K39" i="5"/>
  <c r="Q39" i="5" s="1"/>
  <c r="N39" i="8" s="1"/>
  <c r="N42" i="2"/>
  <c r="H48" i="6"/>
  <c r="AY42" i="2" l="1"/>
  <c r="BD42" i="2" l="1"/>
  <c r="BE42" i="2" l="1"/>
  <c r="BF42" i="2"/>
  <c r="K42" i="4" s="1"/>
  <c r="Q42" i="4" s="1"/>
  <c r="K42" i="3" l="1"/>
  <c r="Q42" i="3" s="1"/>
  <c r="K42" i="5"/>
  <c r="Q42" i="5" s="1"/>
  <c r="K42" i="1"/>
  <c r="Q42" i="1" s="1"/>
  <c r="AY57" i="2"/>
  <c r="BD57" i="2" s="1"/>
  <c r="BE57" i="2" l="1"/>
  <c r="BF57" i="2"/>
  <c r="N23" i="2"/>
  <c r="K57" i="3" l="1"/>
  <c r="Q57" i="3" s="1"/>
  <c r="K57" i="4"/>
  <c r="Q57" i="4" s="1"/>
  <c r="K57" i="1"/>
  <c r="Q57" i="1" s="1"/>
  <c r="K57" i="5"/>
  <c r="Q57" i="5" s="1"/>
  <c r="N57" i="8" s="1"/>
  <c r="L20" i="8"/>
  <c r="AM20" i="2" l="1"/>
  <c r="N20" i="2"/>
  <c r="K20" i="8" l="1"/>
  <c r="P20" i="2"/>
  <c r="AQ20" i="2" s="1"/>
  <c r="L70" i="8" l="1"/>
  <c r="L53" i="8"/>
  <c r="L42" i="8"/>
  <c r="L35" i="8"/>
  <c r="L23" i="8"/>
  <c r="K70" i="8" l="1"/>
  <c r="AY70" i="2"/>
  <c r="AM70" i="2"/>
  <c r="N70" i="2"/>
  <c r="BD70" i="2" l="1"/>
  <c r="P70" i="2"/>
  <c r="BF70" i="2" l="1"/>
  <c r="K70" i="5" s="1"/>
  <c r="Q70" i="5" s="1"/>
  <c r="K70" i="3" l="1"/>
  <c r="Q70" i="3" s="1"/>
  <c r="K70" i="4"/>
  <c r="Q70" i="4" s="1"/>
  <c r="K70" i="1"/>
  <c r="Q70" i="1" s="1"/>
  <c r="AM57" i="2" l="1"/>
  <c r="K57" i="8" l="1"/>
  <c r="P57" i="2"/>
  <c r="AQ57" i="2" s="1"/>
  <c r="M57" i="8"/>
  <c r="O57" i="8" s="1"/>
  <c r="P57" i="8" s="1"/>
  <c r="K22" i="8" l="1"/>
  <c r="K43" i="8"/>
  <c r="K52" i="8"/>
  <c r="J53" i="8" l="1"/>
  <c r="J42" i="8"/>
  <c r="J35" i="8"/>
  <c r="J23" i="8"/>
  <c r="J21" i="8"/>
  <c r="I53" i="8"/>
  <c r="I42" i="8"/>
  <c r="I35" i="8"/>
  <c r="I23" i="8"/>
  <c r="I21" i="8"/>
  <c r="H53" i="8"/>
  <c r="H42" i="8"/>
  <c r="H35" i="8"/>
  <c r="H23" i="8"/>
  <c r="H21" i="8"/>
  <c r="G53" i="8"/>
  <c r="G42" i="8"/>
  <c r="G35" i="8"/>
  <c r="G23" i="8"/>
  <c r="G21" i="8"/>
  <c r="F53" i="8"/>
  <c r="F42" i="8"/>
  <c r="F35" i="8"/>
  <c r="F23" i="8"/>
  <c r="F21" i="8"/>
  <c r="E53" i="8"/>
  <c r="E42" i="8"/>
  <c r="E35" i="8"/>
  <c r="E23" i="8"/>
  <c r="E21" i="8"/>
  <c r="D35" i="8"/>
  <c r="B53" i="8"/>
  <c r="B42" i="8"/>
  <c r="B23" i="8"/>
  <c r="C42" i="8"/>
  <c r="C35" i="8"/>
  <c r="C23" i="8"/>
  <c r="C21" i="8"/>
  <c r="D53" i="8"/>
  <c r="D42" i="8"/>
  <c r="D23" i="8"/>
  <c r="D21" i="8"/>
  <c r="C53" i="8" l="1"/>
  <c r="K21" i="8" l="1"/>
  <c r="D53" i="2" l="1"/>
  <c r="AY20" i="2" l="1"/>
  <c r="BD20" i="2" l="1"/>
  <c r="N21" i="8"/>
  <c r="BF20" i="2" l="1"/>
  <c r="BE20" i="2"/>
  <c r="K20" i="3" l="1"/>
  <c r="Q20" i="3" s="1"/>
  <c r="N20" i="8"/>
  <c r="K20" i="1"/>
  <c r="Q20" i="1" s="1"/>
  <c r="K23" i="8"/>
  <c r="M20" i="8" l="1"/>
  <c r="O20" i="8" s="1"/>
  <c r="AM23" i="2"/>
  <c r="P23" i="2" l="1"/>
  <c r="AQ23" i="2" s="1"/>
  <c r="K53" i="8" l="1"/>
  <c r="AM53" i="2" l="1"/>
  <c r="N53" i="2"/>
  <c r="P53" i="2" l="1"/>
  <c r="K42" i="8" l="1"/>
  <c r="B70" i="8" l="1"/>
  <c r="C70" i="8"/>
  <c r="D70" i="8"/>
  <c r="E70" i="8"/>
  <c r="F70" i="8"/>
  <c r="G70" i="8"/>
  <c r="H70" i="8"/>
  <c r="I70" i="8"/>
  <c r="J70" i="8"/>
  <c r="N35" i="2" l="1"/>
  <c r="M21" i="8" l="1"/>
  <c r="O21" i="8" s="1"/>
  <c r="AY23" i="2"/>
  <c r="AY35" i="2"/>
  <c r="BD35" i="2" s="1"/>
  <c r="BE35" i="2" l="1"/>
  <c r="BF35" i="2"/>
  <c r="BD23" i="2"/>
  <c r="AY53" i="2"/>
  <c r="BD53" i="2" s="1"/>
  <c r="M39" i="8"/>
  <c r="O39" i="8" s="1"/>
  <c r="K35" i="3" l="1"/>
  <c r="Q35" i="3" s="1"/>
  <c r="K35" i="5"/>
  <c r="Q35" i="5" s="1"/>
  <c r="K35" i="1"/>
  <c r="Q35" i="1" s="1"/>
  <c r="K35" i="4"/>
  <c r="Q35" i="4" s="1"/>
  <c r="BE53" i="2"/>
  <c r="BF23" i="2"/>
  <c r="BE23" i="2"/>
  <c r="BF53" i="2"/>
  <c r="K53" i="3" l="1"/>
  <c r="Q53" i="3" s="1"/>
  <c r="K23" i="3"/>
  <c r="Q23" i="3" s="1"/>
  <c r="K53" i="1"/>
  <c r="Q53" i="1" s="1"/>
  <c r="K23" i="5"/>
  <c r="Q23" i="5" s="1"/>
  <c r="N23" i="8" s="1"/>
  <c r="K23" i="1"/>
  <c r="Q23" i="1" s="1"/>
  <c r="K23" i="4"/>
  <c r="Q23" i="4" s="1"/>
  <c r="K53" i="4"/>
  <c r="Q53" i="4" s="1"/>
  <c r="K53" i="5"/>
  <c r="Q53" i="5" s="1"/>
  <c r="N53" i="8" s="1"/>
  <c r="K39" i="8"/>
  <c r="M23" i="8" l="1"/>
  <c r="O23" i="8" s="1"/>
  <c r="M53" i="8"/>
  <c r="O53" i="8" s="1"/>
  <c r="N42" i="8"/>
  <c r="K35" i="8"/>
  <c r="N35" i="8" l="1"/>
  <c r="M42" i="8"/>
  <c r="O42" i="8" s="1"/>
  <c r="P42" i="8" s="1"/>
  <c r="M35" i="8"/>
  <c r="O35" i="8" l="1"/>
  <c r="P36" i="8" s="1"/>
  <c r="P42" i="2"/>
  <c r="AQ42" i="2" s="1"/>
  <c r="AM42" i="2" l="1"/>
  <c r="AM35" i="2"/>
  <c r="P35" i="2"/>
  <c r="AQ35" i="2" s="1"/>
  <c r="C52" i="8" l="1"/>
  <c r="D52" i="8"/>
  <c r="E52" i="8"/>
  <c r="F52" i="8"/>
  <c r="G52" i="8"/>
  <c r="H52" i="8"/>
  <c r="I52" i="8"/>
  <c r="J52" i="8"/>
  <c r="M52" i="8"/>
  <c r="C43" i="8"/>
  <c r="D43" i="8"/>
  <c r="E43" i="8"/>
  <c r="F43" i="8"/>
  <c r="G43" i="8"/>
  <c r="H43" i="8"/>
  <c r="I43" i="8"/>
  <c r="J43" i="8"/>
  <c r="M43" i="8"/>
  <c r="B20" i="8" l="1"/>
  <c r="C22" i="8"/>
  <c r="D22" i="8"/>
  <c r="E22" i="8"/>
  <c r="F22" i="8"/>
  <c r="G22" i="8"/>
  <c r="H22" i="8"/>
  <c r="I22" i="8"/>
  <c r="J22" i="8"/>
  <c r="N22" i="8" l="1"/>
  <c r="M70" i="8" l="1"/>
  <c r="N70" i="8"/>
  <c r="N52" i="8"/>
  <c r="O52" i="8" s="1"/>
  <c r="M22" i="8"/>
  <c r="O22" i="8" s="1"/>
  <c r="O70" i="8" l="1"/>
  <c r="N155" i="8"/>
  <c r="O155" i="8" s="1"/>
  <c r="L116" i="8"/>
  <c r="Q116" i="5"/>
  <c r="N116" i="8" s="1"/>
  <c r="O116" i="8" s="1"/>
  <c r="M116" i="8"/>
  <c r="M15" i="8"/>
  <c r="Q15" i="5"/>
  <c r="N15" i="8" s="1"/>
  <c r="O15" i="8" s="1"/>
  <c r="P15" i="8" s="1"/>
  <c r="Q92" i="5"/>
  <c r="N92" i="8" s="1"/>
  <c r="O92" i="8" s="1"/>
  <c r="M92"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Tahier</author>
  </authors>
  <commentList>
    <comment ref="B134" authorId="0" shapeId="0" xr:uid="{B3B08DBB-2C0F-4A1B-B60A-A6A36651EC86}">
      <text>
        <r>
          <rPr>
            <b/>
            <sz val="9"/>
            <color indexed="81"/>
            <rFont val="Tahoma"/>
            <family val="2"/>
          </rPr>
          <t>Tahier:</t>
        </r>
        <r>
          <rPr>
            <sz val="9"/>
            <color indexed="81"/>
            <rFont val="Tahoma"/>
            <family val="2"/>
          </rPr>
          <t xml:space="preserve">
Weekstaat komt 16 jun</t>
        </r>
      </text>
    </comment>
  </commentList>
</comments>
</file>

<file path=xl/sharedStrings.xml><?xml version="1.0" encoding="utf-8"?>
<sst xmlns="http://schemas.openxmlformats.org/spreadsheetml/2006/main" count="1272" uniqueCount="556">
  <si>
    <t>dagen</t>
  </si>
  <si>
    <t>Voorschot</t>
  </si>
  <si>
    <t>uren</t>
  </si>
  <si>
    <t>brandstof</t>
  </si>
  <si>
    <t>Netto</t>
  </si>
  <si>
    <t>Dagen</t>
  </si>
  <si>
    <t>bedrag</t>
  </si>
  <si>
    <t>vergoeding</t>
  </si>
  <si>
    <t>Bedrag km/</t>
  </si>
  <si>
    <t>Totaal</t>
  </si>
  <si>
    <t>UTA</t>
  </si>
  <si>
    <t>Bouw</t>
  </si>
  <si>
    <t>CAO</t>
  </si>
  <si>
    <t>p/u</t>
  </si>
  <si>
    <t>Bruto</t>
  </si>
  <si>
    <t>FL</t>
  </si>
  <si>
    <t>Reserveringen</t>
  </si>
  <si>
    <t>%</t>
  </si>
  <si>
    <t>Bron</t>
  </si>
  <si>
    <t>Opmerking</t>
  </si>
  <si>
    <t>Aantal dagen afhankelijk leeftijd</t>
  </si>
  <si>
    <t>Doorbet / Verz. Uitzk. res. Periodiek uitbetaald / reserv.</t>
  </si>
  <si>
    <t xml:space="preserve"> Vakantiegeld</t>
  </si>
  <si>
    <t>Indien reservering zou de RG FL+WDC zijn.</t>
  </si>
  <si>
    <t>Werkdagen</t>
  </si>
  <si>
    <t>Feestdagen</t>
  </si>
  <si>
    <t>Netto werkbare dagen</t>
  </si>
  <si>
    <t>Reservering</t>
  </si>
  <si>
    <t>Functie</t>
  </si>
  <si>
    <t>verg.</t>
  </si>
  <si>
    <t>sal.niv</t>
  </si>
  <si>
    <t>Bovenmatige</t>
  </si>
  <si>
    <t>Schilder</t>
  </si>
  <si>
    <t>bruto</t>
  </si>
  <si>
    <t>Recht op dagen</t>
  </si>
  <si>
    <t>FD</t>
  </si>
  <si>
    <t>Netto SL</t>
  </si>
  <si>
    <t>RV</t>
  </si>
  <si>
    <t>VAK</t>
  </si>
  <si>
    <t>ge-</t>
  </si>
  <si>
    <t>werkt</t>
  </si>
  <si>
    <t>Uren</t>
  </si>
  <si>
    <t>Op-</t>
  </si>
  <si>
    <t>name</t>
  </si>
  <si>
    <t>Door</t>
  </si>
  <si>
    <t>bet.</t>
  </si>
  <si>
    <t>Extra</t>
  </si>
  <si>
    <t>Declaratie</t>
  </si>
  <si>
    <t>Km  woon-</t>
  </si>
  <si>
    <t>werk pd</t>
  </si>
  <si>
    <t>Km werk-</t>
  </si>
  <si>
    <t>Enkel</t>
  </si>
  <si>
    <t>Werknemer</t>
  </si>
  <si>
    <t>reeds ontvangen</t>
  </si>
  <si>
    <t>Totaal wk 1-3</t>
  </si>
  <si>
    <t>nog te ontvangen</t>
  </si>
  <si>
    <t>Loon</t>
  </si>
  <si>
    <t>Totaal wk 4</t>
  </si>
  <si>
    <t>25v 7rv</t>
  </si>
  <si>
    <r>
      <t xml:space="preserve">ALLEEN </t>
    </r>
    <r>
      <rPr>
        <b/>
        <sz val="11"/>
        <color rgb="FFC00000"/>
        <rFont val="Calibri"/>
        <family val="2"/>
        <scheme val="minor"/>
      </rPr>
      <t>GEKLEURDE</t>
    </r>
    <r>
      <rPr>
        <b/>
        <sz val="11"/>
        <color theme="1"/>
        <rFont val="Calibri"/>
        <family val="2"/>
        <scheme val="minor"/>
      </rPr>
      <t xml:space="preserve"> LETTERS EN CIJFERS INGEVEN!</t>
    </r>
  </si>
  <si>
    <t>Inregeling</t>
  </si>
  <si>
    <t>Te verrekenen</t>
  </si>
  <si>
    <t>totaal 4 weken</t>
  </si>
  <si>
    <t>Km</t>
  </si>
  <si>
    <t>Timmerman II</t>
  </si>
  <si>
    <t>Overige</t>
  </si>
  <si>
    <t>per dag</t>
  </si>
  <si>
    <t>Reisuur:</t>
  </si>
  <si>
    <t>Bedrag</t>
  </si>
  <si>
    <t>Pensioen</t>
  </si>
  <si>
    <t>Vak RV RVS KV</t>
  </si>
  <si>
    <t>kaal loon</t>
  </si>
  <si>
    <t xml:space="preserve"> RVS, bov.wetdg </t>
  </si>
  <si>
    <t>reisuren</t>
  </si>
  <si>
    <t>Incl.</t>
  </si>
  <si>
    <t>Netto afspraak</t>
  </si>
  <si>
    <t>bovenm verg.</t>
  </si>
  <si>
    <t>vaste afspraken</t>
  </si>
  <si>
    <t xml:space="preserve">Decl. </t>
  </si>
  <si>
    <t>verg. overuur</t>
  </si>
  <si>
    <t>Actueel project en KM's enkele reis</t>
  </si>
  <si>
    <t>Keuzebudget</t>
  </si>
  <si>
    <t>wasgeld</t>
  </si>
  <si>
    <t xml:space="preserve"> </t>
  </si>
  <si>
    <t>Contract</t>
  </si>
  <si>
    <t>0</t>
  </si>
  <si>
    <t>premie p/u</t>
  </si>
  <si>
    <t>Legenda:</t>
  </si>
  <si>
    <t>Fase</t>
  </si>
  <si>
    <r>
      <t xml:space="preserve">ALLEEN </t>
    </r>
    <r>
      <rPr>
        <sz val="11"/>
        <color rgb="FFC00000"/>
        <rFont val="Calibri"/>
        <family val="2"/>
        <scheme val="minor"/>
      </rPr>
      <t>GE</t>
    </r>
    <r>
      <rPr>
        <sz val="11"/>
        <color rgb="FF00B050"/>
        <rFont val="Calibri"/>
        <family val="2"/>
        <scheme val="minor"/>
      </rPr>
      <t>KLE</t>
    </r>
    <r>
      <rPr>
        <sz val="11"/>
        <color rgb="FF00B0F0"/>
        <rFont val="Calibri"/>
        <family val="2"/>
        <scheme val="minor"/>
      </rPr>
      <t>URDE</t>
    </r>
    <r>
      <rPr>
        <sz val="11"/>
        <color theme="1"/>
        <rFont val="Calibri"/>
        <family val="2"/>
        <scheme val="minor"/>
      </rPr>
      <t xml:space="preserve"> letters en cijfers ingeven, </t>
    </r>
    <r>
      <rPr>
        <sz val="11"/>
        <rFont val="Calibri"/>
        <family val="2"/>
        <scheme val="minor"/>
      </rPr>
      <t>ZWART</t>
    </r>
    <r>
      <rPr>
        <sz val="11"/>
        <color theme="1"/>
        <rFont val="Calibri"/>
        <family val="2"/>
        <scheme val="minor"/>
      </rPr>
      <t xml:space="preserve"> zijn formules of vaste gegevens</t>
    </r>
  </si>
  <si>
    <t>T4.2 FG.A</t>
  </si>
  <si>
    <t>Fase 3</t>
  </si>
  <si>
    <t>BPF bouw</t>
  </si>
  <si>
    <t>T4.2 FG.B</t>
  </si>
  <si>
    <t>TSF</t>
  </si>
  <si>
    <r>
      <t xml:space="preserve">25v </t>
    </r>
    <r>
      <rPr>
        <b/>
        <sz val="10"/>
        <color rgb="FF00B050"/>
        <rFont val="Calibri"/>
        <family val="2"/>
        <scheme val="minor"/>
      </rPr>
      <t xml:space="preserve">10rv </t>
    </r>
    <r>
      <rPr>
        <b/>
        <sz val="10"/>
        <color rgb="FF7030A0"/>
        <rFont val="Calibri"/>
        <family val="2"/>
        <scheme val="minor"/>
      </rPr>
      <t>10tsf</t>
    </r>
    <r>
      <rPr>
        <b/>
        <sz val="10"/>
        <color rgb="FF00B0F0"/>
        <rFont val="Calibri"/>
        <family val="2"/>
        <scheme val="minor"/>
      </rPr>
      <t xml:space="preserve"> </t>
    </r>
  </si>
  <si>
    <t>reiskosten</t>
  </si>
  <si>
    <t>BPF UTA</t>
  </si>
  <si>
    <t>Reserv.</t>
  </si>
  <si>
    <t>Vak.geld</t>
  </si>
  <si>
    <t>Auto/</t>
  </si>
  <si>
    <t>laarzen</t>
  </si>
  <si>
    <t>bovenm.</t>
  </si>
  <si>
    <t>Kleding</t>
  </si>
  <si>
    <t>TOTAAL</t>
  </si>
  <si>
    <t>GV</t>
  </si>
  <si>
    <t>IK</t>
  </si>
  <si>
    <t>WKR</t>
  </si>
  <si>
    <t>cao/gereeds.</t>
  </si>
  <si>
    <t>Fase 1-2</t>
  </si>
  <si>
    <t>RG</t>
  </si>
  <si>
    <r>
      <t xml:space="preserve">25v </t>
    </r>
    <r>
      <rPr>
        <b/>
        <sz val="10"/>
        <color rgb="FF00B050"/>
        <rFont val="Calibri"/>
        <family val="2"/>
        <scheme val="minor"/>
      </rPr>
      <t xml:space="preserve">20rv </t>
    </r>
  </si>
  <si>
    <t>Bouwvakhelper</t>
  </si>
  <si>
    <r>
      <rPr>
        <sz val="10"/>
        <rFont val="Calibri"/>
        <family val="2"/>
        <scheme val="minor"/>
      </rPr>
      <t>Een</t>
    </r>
    <r>
      <rPr>
        <sz val="12"/>
        <rFont val="Calibri"/>
        <family val="2"/>
        <scheme val="minor"/>
      </rPr>
      <t xml:space="preserve"> </t>
    </r>
    <r>
      <rPr>
        <b/>
        <sz val="12"/>
        <rFont val="Calibri"/>
        <family val="2"/>
        <scheme val="minor"/>
      </rPr>
      <t xml:space="preserve">Geel </t>
    </r>
    <r>
      <rPr>
        <b/>
        <sz val="10"/>
        <rFont val="Calibri"/>
        <family val="2"/>
        <scheme val="minor"/>
      </rPr>
      <t>gemarkeertde cel betreft een uitzondering in formule, getal of eenheid</t>
    </r>
  </si>
  <si>
    <t>Stipp Plus</t>
  </si>
  <si>
    <t>Aanvoerder</t>
  </si>
  <si>
    <t>Loonvoorschot strook</t>
  </si>
  <si>
    <t>Frank Stouthart</t>
  </si>
  <si>
    <t>BPF Bouw</t>
  </si>
  <si>
    <r>
      <t xml:space="preserve">25v </t>
    </r>
    <r>
      <rPr>
        <b/>
        <sz val="10"/>
        <color rgb="FF00B050"/>
        <rFont val="Calibri"/>
        <family val="2"/>
        <scheme val="minor"/>
      </rPr>
      <t>20rv</t>
    </r>
    <r>
      <rPr>
        <b/>
        <sz val="10"/>
        <color rgb="FF00B0F0"/>
        <rFont val="Calibri"/>
        <family val="2"/>
        <scheme val="minor"/>
      </rPr>
      <t xml:space="preserve"> 9rvs</t>
    </r>
  </si>
  <si>
    <t>Declaratie/</t>
  </si>
  <si>
    <t>Erik Visser</t>
  </si>
  <si>
    <t>32 (4wk)</t>
  </si>
  <si>
    <t>229dg</t>
  </si>
  <si>
    <t xml:space="preserve">werk </t>
  </si>
  <si>
    <r>
      <rPr>
        <b/>
        <sz val="11"/>
        <color rgb="FFFF0000"/>
        <rFont val="Calibri"/>
        <family val="2"/>
        <scheme val="minor"/>
      </rPr>
      <t xml:space="preserve">WKR </t>
    </r>
    <r>
      <rPr>
        <b/>
        <sz val="11"/>
        <color rgb="FF00B050"/>
        <rFont val="Calibri"/>
        <family val="2"/>
        <scheme val="minor"/>
      </rPr>
      <t>vergoedingen</t>
    </r>
  </si>
  <si>
    <t>T4.9 FL23 FN1 SN1</t>
  </si>
  <si>
    <t>Staalstraat Velsen-Noord 52km</t>
  </si>
  <si>
    <t>Intern onderhoudsmedewerker</t>
  </si>
  <si>
    <t>Voorschoterweg 8a, 50 km</t>
  </si>
  <si>
    <t>kilometers</t>
  </si>
  <si>
    <t>Werkterminal administrateur</t>
  </si>
  <si>
    <t>Marco Booij</t>
  </si>
  <si>
    <t>Schilder 1</t>
  </si>
  <si>
    <t>52-LN-BT</t>
  </si>
  <si>
    <t>Bijtelling 36-GNP-4</t>
  </si>
  <si>
    <t xml:space="preserve">Bijtelling 52-LN-BT </t>
  </si>
  <si>
    <t>32 uur per week</t>
  </si>
  <si>
    <r>
      <t xml:space="preserve">Alleen WKR telt mee; </t>
    </r>
    <r>
      <rPr>
        <b/>
        <sz val="11"/>
        <color rgb="FF005696"/>
        <rFont val="Calibri"/>
        <family val="2"/>
      </rPr>
      <t>€</t>
    </r>
    <r>
      <rPr>
        <b/>
        <sz val="11"/>
        <color rgb="FF005696"/>
        <rFont val="Calibri"/>
        <family val="2"/>
        <scheme val="minor"/>
      </rPr>
      <t>185p/4wk</t>
    </r>
  </si>
  <si>
    <t>Zorgverz.</t>
  </si>
  <si>
    <t>Vergoeding</t>
  </si>
  <si>
    <t>Jan Levering</t>
  </si>
  <si>
    <t xml:space="preserve">€ </t>
  </si>
  <si>
    <t>Vgeld</t>
  </si>
  <si>
    <t>S.02.1 LG 02.02</t>
  </si>
  <si>
    <t>Fase 4</t>
  </si>
  <si>
    <r>
      <t xml:space="preserve">25v </t>
    </r>
    <r>
      <rPr>
        <b/>
        <sz val="10"/>
        <color rgb="FF00B050"/>
        <rFont val="Calibri"/>
        <family val="2"/>
        <scheme val="minor"/>
      </rPr>
      <t>20rv</t>
    </r>
  </si>
  <si>
    <t>36-GNP-4</t>
  </si>
  <si>
    <t>Shafieq Asgarali</t>
  </si>
  <si>
    <t>32 (wk)</t>
  </si>
  <si>
    <t>Stipp Basis</t>
  </si>
  <si>
    <t>Onkosten betalen op rekening Shafieq: NL65 ABNA 0128 6728 97</t>
  </si>
  <si>
    <t>Andre Sintenie</t>
  </si>
  <si>
    <t>Stipp basis</t>
  </si>
  <si>
    <t>SAVG</t>
  </si>
  <si>
    <t>Youri Nouwens</t>
  </si>
  <si>
    <t>54-GDT-8</t>
  </si>
  <si>
    <t>Hulpkracht</t>
  </si>
  <si>
    <t>Bijtelling 54-GDT-8</t>
  </si>
  <si>
    <t>Loon overmaken naar Bewindvoerder: NL20 ABNA 0830 2655 89 - De Maas dienstverlening</t>
  </si>
  <si>
    <t>Onkosten overmaken naar Youri: NL21 INGB 0799 0333 59</t>
  </si>
  <si>
    <t>VV-204-L</t>
  </si>
  <si>
    <t>Marco Govers</t>
  </si>
  <si>
    <t>Totaal:</t>
  </si>
  <si>
    <t>VV-204-L met verklaring</t>
  </si>
  <si>
    <t>Fase 3.2</t>
  </si>
  <si>
    <t>Kevin Schuiling</t>
  </si>
  <si>
    <t>Steven Lamers</t>
  </si>
  <si>
    <t>Marcel van Zandwijk</t>
  </si>
  <si>
    <t>T4.9 FL1 FN4 SN1</t>
  </si>
  <si>
    <t>Uitvoerder</t>
  </si>
  <si>
    <t>Inclusief</t>
  </si>
  <si>
    <t>Carlo Peetoom</t>
  </si>
  <si>
    <t>Assistent Uitvoerder</t>
  </si>
  <si>
    <t>T4.9 FL1 FN3 SN1</t>
  </si>
  <si>
    <t>Bijtelling 78-RJ-BP</t>
  </si>
  <si>
    <t>78-RJ-BP</t>
  </si>
  <si>
    <t>1-VXV-55</t>
  </si>
  <si>
    <t>Michel van der Mark</t>
  </si>
  <si>
    <t>Jan Harteveld</t>
  </si>
  <si>
    <t>Patrick Serlier</t>
  </si>
  <si>
    <t>Pieter van Houwelingen</t>
  </si>
  <si>
    <t>Incl. vakantiegeld, nettoafspraak is inclusief reiskosten</t>
  </si>
  <si>
    <t>Marcel Spruijt</t>
  </si>
  <si>
    <t>54-GVP-1</t>
  </si>
  <si>
    <r>
      <t>LP4</t>
    </r>
    <r>
      <rPr>
        <sz val="8"/>
        <color rgb="FFFF0000"/>
        <rFont val="Calibri"/>
        <family val="2"/>
        <scheme val="minor"/>
      </rPr>
      <t xml:space="preserve"> </t>
    </r>
    <r>
      <rPr>
        <sz val="8"/>
        <rFont val="Calibri"/>
        <family val="2"/>
        <scheme val="minor"/>
      </rPr>
      <t>10 km</t>
    </r>
    <r>
      <rPr>
        <sz val="8"/>
        <color rgb="FFFF0000"/>
        <rFont val="Calibri"/>
        <family val="2"/>
        <scheme val="minor"/>
      </rPr>
      <t xml:space="preserve"> (schrijft 11km)</t>
    </r>
    <r>
      <rPr>
        <sz val="8"/>
        <rFont val="Calibri"/>
        <family val="2"/>
        <scheme val="minor"/>
      </rPr>
      <t/>
    </r>
  </si>
  <si>
    <t>Verklaring 1-VXV-55</t>
  </si>
  <si>
    <t>Bijtelling 54-GVP-1</t>
  </si>
  <si>
    <t>Bovm. loon</t>
  </si>
  <si>
    <r>
      <t xml:space="preserve">25v </t>
    </r>
    <r>
      <rPr>
        <b/>
        <sz val="10"/>
        <color rgb="FF00B050"/>
        <rFont val="Calibri"/>
        <family val="2"/>
        <scheme val="minor"/>
      </rPr>
      <t xml:space="preserve">7atv </t>
    </r>
    <r>
      <rPr>
        <b/>
        <sz val="10"/>
        <color rgb="FF00B0F0"/>
        <rFont val="Calibri"/>
        <family val="2"/>
        <scheme val="minor"/>
      </rPr>
      <t>8rvb</t>
    </r>
  </si>
  <si>
    <r>
      <t xml:space="preserve">25v </t>
    </r>
    <r>
      <rPr>
        <b/>
        <sz val="10"/>
        <color rgb="FF00B050"/>
        <rFont val="Calibri"/>
        <family val="2"/>
        <scheme val="minor"/>
      </rPr>
      <t>7atv</t>
    </r>
  </si>
  <si>
    <t>229 dagen 40uur</t>
  </si>
  <si>
    <t>229 dagen 40 uur</t>
  </si>
  <si>
    <t>7 dagen</t>
  </si>
  <si>
    <r>
      <t>25v</t>
    </r>
    <r>
      <rPr>
        <b/>
        <sz val="10"/>
        <color rgb="FF00B050"/>
        <rFont val="Calibri"/>
        <family val="2"/>
        <scheme val="minor"/>
      </rPr>
      <t xml:space="preserve"> 7atv</t>
    </r>
  </si>
  <si>
    <t>32,5km enkele reis = 32,5*10*€ 0,23 = € 74,75</t>
  </si>
  <si>
    <t>Werkt 144 uur p/4weken</t>
  </si>
  <si>
    <t>Uitvoering 32,5km (ochtend 29,5 en middag 34,5)</t>
  </si>
  <si>
    <t>Ziekte</t>
  </si>
  <si>
    <t>Remco Groenendaal</t>
  </si>
  <si>
    <t>Fred Termonen</t>
  </si>
  <si>
    <t>VB-773-H met verklaring</t>
  </si>
  <si>
    <t>Arnold Verstraten</t>
  </si>
  <si>
    <r>
      <t xml:space="preserve">25v </t>
    </r>
    <r>
      <rPr>
        <b/>
        <sz val="10"/>
        <color rgb="FF00B050"/>
        <rFont val="Calibri"/>
        <family val="2"/>
        <scheme val="minor"/>
      </rPr>
      <t xml:space="preserve">20rv </t>
    </r>
    <r>
      <rPr>
        <b/>
        <sz val="10"/>
        <color rgb="FF00B0F0"/>
        <rFont val="Calibri"/>
        <family val="2"/>
        <scheme val="minor"/>
      </rPr>
      <t>6rvs</t>
    </r>
  </si>
  <si>
    <t>Uitvoering</t>
  </si>
  <si>
    <t>Ronald van Maanen</t>
  </si>
  <si>
    <t>Alex van der Laan</t>
  </si>
  <si>
    <t>Onno de Vries</t>
  </si>
  <si>
    <t>Eric Snepvangers</t>
  </si>
  <si>
    <t>Bijtelling GVR-35-D</t>
  </si>
  <si>
    <t>GVR-35-D</t>
  </si>
  <si>
    <t>VLT-24-V</t>
  </si>
  <si>
    <t>Kay Sanders</t>
  </si>
  <si>
    <t>T4.9 FL1 FN3 116%</t>
  </si>
  <si>
    <t>Ruben Hellemons</t>
  </si>
  <si>
    <t>1-VSV-81</t>
  </si>
  <si>
    <t>1-VSV-81 met verklaring</t>
  </si>
  <si>
    <t>ZIEK</t>
  </si>
  <si>
    <t>Ziek</t>
  </si>
  <si>
    <t>Incl. vakantiegeld en VAKANTIEDAGEN, elke week max aanvullen!</t>
  </si>
  <si>
    <t>claimt geen ziek</t>
  </si>
  <si>
    <t>NIETS AAN VERANDEREN !!!</t>
  </si>
  <si>
    <t>Bijtelling 82-VZJ-2</t>
  </si>
  <si>
    <t>Dirk Nouwens</t>
  </si>
  <si>
    <t>AOW</t>
  </si>
  <si>
    <t>Bijtelling 90-XB-JF</t>
  </si>
  <si>
    <t>90-XB-JF</t>
  </si>
  <si>
    <t>LG.01 Aanloopschaal 1e jaar</t>
  </si>
  <si>
    <t>Kredietbank Nederland NL48 BNGH 0285 0174 03 o.v.v. 6200559</t>
  </si>
  <si>
    <t>De Munt 69km</t>
  </si>
  <si>
    <t>124 (4wk)</t>
  </si>
  <si>
    <t>Verklaring VLT-24-V</t>
  </si>
  <si>
    <t>Proforma gedraaid op 150 uur</t>
  </si>
  <si>
    <t>Leo van Doorn</t>
  </si>
  <si>
    <t>Fase 1 -2</t>
  </si>
  <si>
    <r>
      <t xml:space="preserve">incl: </t>
    </r>
    <r>
      <rPr>
        <i/>
        <sz val="10"/>
        <color rgb="FF0070C0"/>
        <rFont val="Calibri"/>
        <family val="2"/>
        <scheme val="minor"/>
      </rPr>
      <t>cao verg</t>
    </r>
  </si>
  <si>
    <r>
      <t xml:space="preserve">incl. comp: </t>
    </r>
    <r>
      <rPr>
        <i/>
        <sz val="10"/>
        <color rgb="FF0070C0"/>
        <rFont val="Calibri"/>
        <family val="2"/>
        <scheme val="minor"/>
      </rPr>
      <t>RV</t>
    </r>
  </si>
  <si>
    <t>Sander van den Hoek</t>
  </si>
  <si>
    <t>Nijpelsplantsoen 21km</t>
  </si>
  <si>
    <t>B.01.1 Aanloop 2e jaar</t>
  </si>
  <si>
    <t>150 (4wk)</t>
  </si>
  <si>
    <t>Asanty Raafenberg</t>
  </si>
  <si>
    <t>T4.5 Starttabel 1e halfjaar</t>
  </si>
  <si>
    <t xml:space="preserve">B.02.1 Aanloopschaal 2e jr </t>
  </si>
  <si>
    <t>Rob Valkenburg</t>
  </si>
  <si>
    <t>98-XH-DP</t>
  </si>
  <si>
    <t>04-SP-VN</t>
  </si>
  <si>
    <t>Loonbeslag Belastindienst NL89 INGB 000 000 4820</t>
  </si>
  <si>
    <t>t.n.v. S. van den Hoek 1735.64.781</t>
  </si>
  <si>
    <t>Netto incl. vakantiegeld, -9,48 bijtelling</t>
  </si>
  <si>
    <t>Ziekte aanvulling 20%</t>
  </si>
  <si>
    <t>98-XH-DP Bijtelling</t>
  </si>
  <si>
    <t>Transformatie Glashaven 27km</t>
  </si>
  <si>
    <t>Dagloon € 114,94 bruto</t>
  </si>
  <si>
    <t>4 wekelijkse betaling</t>
  </si>
  <si>
    <t>Roy Rubeling</t>
  </si>
  <si>
    <t>Betalen Sander:</t>
  </si>
  <si>
    <t>St. Martinuskerk Voorburg 11 km</t>
  </si>
  <si>
    <t>Loon betalen onder bewindvoering: NL93 ABNA 0128 6727 81</t>
  </si>
  <si>
    <t>Recht</t>
  </si>
  <si>
    <t>Bouwplaatsm. Waarde</t>
  </si>
  <si>
    <t>UTA waarde</t>
  </si>
  <si>
    <t>20 vakantiedagen (18+ jaar oud)</t>
  </si>
  <si>
    <t>art 3.1</t>
  </si>
  <si>
    <t>Is de werknemer slechts een deel van het jaar bij de werkgever in dienst? Dan heeft hij recht op het aantal vakantiedagen naar rato van de duur van zijn arbeidsovereenkomst in dat jaar.</t>
  </si>
  <si>
    <t>Roostervrij</t>
  </si>
  <si>
    <t>20 dagen</t>
  </si>
  <si>
    <t>15 dagen</t>
  </si>
  <si>
    <t>3.2</t>
  </si>
  <si>
    <t xml:space="preserve">Roostervrij ouderen </t>
  </si>
  <si>
    <t>t/m bouwjaar 1965</t>
  </si>
  <si>
    <t>3.3</t>
  </si>
  <si>
    <t>8,33% t/m 30 Juni 2026, daarna 8%</t>
  </si>
  <si>
    <t>nbbu 36.a</t>
  </si>
  <si>
    <t>Christelijke feestdagen</t>
  </si>
  <si>
    <t>art. 3.4.1</t>
  </si>
  <si>
    <t xml:space="preserve">De werkgever betaalt over deze feestdagen het vast overeengekomen loon of het salaris. </t>
  </si>
  <si>
    <t>Kort verzuim</t>
  </si>
  <si>
    <t>3x (8) uur p/jaar, zorgverlof partner, dokter, suikerfeest etc. opnemen regelement</t>
  </si>
  <si>
    <t>art. 3.6.4</t>
  </si>
  <si>
    <t>Recht opnemen in Arbeidsovereenkomst/UZB</t>
  </si>
  <si>
    <t>BTER pensioen</t>
  </si>
  <si>
    <t>BPF</t>
  </si>
  <si>
    <t>Stipp plus (max 2jaar)</t>
  </si>
  <si>
    <t>15,9% werkgever, 7,5% werknemer</t>
  </si>
  <si>
    <t>Compensatie BPF bij Stipp (max 2 jaar)</t>
  </si>
  <si>
    <t>WGA-hiaat</t>
  </si>
  <si>
    <t>Bij BPFbouw deelnemer niet van toepassing, nieuwkomer = risico</t>
  </si>
  <si>
    <t>art. 9.3.2.</t>
  </si>
  <si>
    <r>
      <rPr>
        <b/>
        <u/>
        <sz val="11"/>
        <color rgb="FF0070C0"/>
        <rFont val="Calibri"/>
        <family val="2"/>
        <scheme val="minor"/>
      </rPr>
      <t>(alleen vakkracht)</t>
    </r>
    <r>
      <rPr>
        <b/>
        <u/>
        <sz val="11"/>
        <color rgb="FFFFC000"/>
        <rFont val="Calibri"/>
        <family val="2"/>
        <scheme val="minor"/>
      </rPr>
      <t xml:space="preserve"> BTER premies </t>
    </r>
  </si>
  <si>
    <t>NOTK eind december, nieuw stelsel</t>
  </si>
  <si>
    <t>BpfBouw Middelloon</t>
  </si>
  <si>
    <t>Volledig toepassen</t>
  </si>
  <si>
    <t>BTER-cao</t>
  </si>
  <si>
    <t>Arbeidsongeschiktheidpensioen</t>
  </si>
  <si>
    <t>Opleiding- en Ontwikkelingsfonds</t>
  </si>
  <si>
    <t>1. Polis Collect. Ongevallenverzekering regelen</t>
  </si>
  <si>
    <t>Opleiding &amp; Ontwikkelingsregeling Top Groep Nederland</t>
  </si>
  <si>
    <t>2. SFU + aanvullen met regeling voor scholing en duurzame inzetbaarheid</t>
  </si>
  <si>
    <t>ST. aanvullingsfonds Bouw</t>
  </si>
  <si>
    <t>Alleen zwaarwerkregeling toepassen, overige is uitgesloten</t>
  </si>
  <si>
    <t>artikel 5 lid 2 BTER-cao. Financieringsreglement Aanvullingsfonds, artikel 2 lid 3:</t>
  </si>
  <si>
    <t>Individueel budget</t>
  </si>
  <si>
    <t>In 2026:</t>
  </si>
  <si>
    <t>art. 4.14 / bijlage 4.2/ flyer fnv</t>
  </si>
  <si>
    <t>Individueel scholingsbudget in AOK zetten, (use it, or u lose it beleid)</t>
  </si>
  <si>
    <t xml:space="preserve">Bruto toeslagen / Compensatie </t>
  </si>
  <si>
    <t>Roostervrij /senioren</t>
  </si>
  <si>
    <t>0,4%</t>
  </si>
  <si>
    <t>Zorgverzekering</t>
  </si>
  <si>
    <t>bruto per 4 weken</t>
  </si>
  <si>
    <t>Reisuur</t>
  </si>
  <si>
    <t>bruto per uur</t>
  </si>
  <si>
    <r>
      <rPr>
        <sz val="11"/>
        <color theme="1"/>
        <rFont val="Calibri"/>
        <family val="2"/>
      </rPr>
      <t>€ 18,95-</t>
    </r>
    <r>
      <rPr>
        <sz val="11"/>
        <color theme="1"/>
        <rFont val="Calibri"/>
        <family val="2"/>
        <scheme val="minor"/>
      </rPr>
      <t>20,02 p/uur</t>
    </r>
  </si>
  <si>
    <t>Vergoedingen</t>
  </si>
  <si>
    <t>Handgereedschap timmerman</t>
  </si>
  <si>
    <t>netto per dag</t>
  </si>
  <si>
    <t>Handgereedschap metselaar</t>
  </si>
  <si>
    <t>Werkkleding</t>
  </si>
  <si>
    <r>
      <t xml:space="preserve">Uitdelen, of vergoeden á </t>
    </r>
    <r>
      <rPr>
        <sz val="11"/>
        <color theme="1"/>
        <rFont val="Calibri"/>
        <family val="2"/>
      </rPr>
      <t>€</t>
    </r>
    <r>
      <rPr>
        <sz val="11"/>
        <color theme="1"/>
        <rFont val="Calibri"/>
        <family val="2"/>
        <scheme val="minor"/>
      </rPr>
      <t>1,10 p/dag</t>
    </r>
  </si>
  <si>
    <t>S3 schoenen</t>
  </si>
  <si>
    <r>
      <t xml:space="preserve">Eenmalig per jaar </t>
    </r>
    <r>
      <rPr>
        <sz val="11"/>
        <color theme="1"/>
        <rFont val="Calibri"/>
        <family val="2"/>
      </rPr>
      <t>€ 125,-</t>
    </r>
    <r>
      <rPr>
        <sz val="11"/>
        <color theme="1"/>
        <rFont val="Calibri"/>
        <family val="2"/>
        <scheme val="minor"/>
      </rPr>
      <t xml:space="preserve"> declaraarbaar in beleid</t>
    </r>
  </si>
  <si>
    <t>Laarzen (bovenmatig)</t>
  </si>
  <si>
    <t>NETTO/dg</t>
  </si>
  <si>
    <t xml:space="preserve">per dag </t>
  </si>
  <si>
    <t>Compensatie</t>
  </si>
  <si>
    <t>duurzame</t>
  </si>
  <si>
    <t>inzetbaarheid</t>
  </si>
  <si>
    <t xml:space="preserve">Compensatie </t>
  </si>
  <si>
    <t>Voorzieningen</t>
  </si>
  <si>
    <t>PAGO</t>
  </si>
  <si>
    <t>Periodiek Arbeidsgezondheidskundig Onderzoek / Gezondheids- en Bodycheck</t>
  </si>
  <si>
    <t>USAG H5 art. 1 en art. 5</t>
  </si>
  <si>
    <r>
      <t xml:space="preserve">inventariserend gesprek met loopbaancoach, met schriftelijk advies. </t>
    </r>
    <r>
      <rPr>
        <i/>
        <sz val="11"/>
        <color theme="1"/>
        <rFont val="Calibri"/>
        <family val="2"/>
        <scheme val="minor"/>
      </rPr>
      <t>(Referentie: USAG H5 art. 6).</t>
    </r>
  </si>
  <si>
    <t>Adviestraject</t>
  </si>
  <si>
    <t xml:space="preserve">vervolg op de loopbaancheck bestaande uit adviesgesprekken. </t>
  </si>
  <si>
    <t>(Referentie: USAG H5 art. 7).</t>
  </si>
  <si>
    <t>(Referentie: USAG H5 art. 6).</t>
  </si>
  <si>
    <t>Loopbaancheck (+40 jaar oud)</t>
  </si>
  <si>
    <t>25 vakantiedagen (18+ jaar oud)</t>
  </si>
  <si>
    <t>7 niet vrij opneembare ATV-dagen</t>
  </si>
  <si>
    <t>Reiskosten</t>
  </si>
  <si>
    <t>Waarde</t>
  </si>
  <si>
    <t>Uitrusting</t>
  </si>
  <si>
    <t>€1,60 per gewerkte dag</t>
  </si>
  <si>
    <t>Stipp plus</t>
  </si>
  <si>
    <t>Compensatie  BPF</t>
  </si>
  <si>
    <t>Collectieve ongevallenverzekering</t>
  </si>
  <si>
    <t>€33.000 overlijden / €66.000 volledige invaliditeit).</t>
  </si>
  <si>
    <t>SFU</t>
  </si>
  <si>
    <t>is extra</t>
  </si>
  <si>
    <r>
      <t xml:space="preserve">BPF Schilders 2026 (totaal) komt uit op </t>
    </r>
    <r>
      <rPr>
        <b/>
        <sz val="11"/>
        <color theme="1"/>
        <rFont val="Calibri"/>
        <family val="2"/>
        <scheme val="minor"/>
      </rPr>
      <t>27,64% + 0,48% + 0,67% + 0,08% = 28,87%</t>
    </r>
  </si>
  <si>
    <r>
      <t xml:space="preserve">StiPP (nieuwe regeling): totale premie </t>
    </r>
    <r>
      <rPr>
        <b/>
        <sz val="11"/>
        <color theme="1"/>
        <rFont val="Calibri"/>
        <family val="2"/>
        <scheme val="minor"/>
      </rPr>
      <t>23,4%</t>
    </r>
    <r>
      <rPr>
        <sz val="11"/>
        <color theme="1"/>
        <rFont val="Calibri"/>
        <family val="2"/>
        <scheme val="minor"/>
      </rPr>
      <t xml:space="preserve"> (wg 15,9% / wn 7,5%).</t>
    </r>
  </si>
  <si>
    <t>Vakbond contributie</t>
  </si>
  <si>
    <t>volldig netto</t>
  </si>
  <si>
    <t>o.b.v. bewijs betaling contributie</t>
  </si>
  <si>
    <t>Reisuren: na eerste 60 min/dag €10 bruto/uur</t>
  </si>
  <si>
    <t xml:space="preserve"> auto €0,30/km</t>
  </si>
  <si>
    <t>Reservering scholing</t>
  </si>
  <si>
    <t>2 dagen = 0,77%</t>
  </si>
  <si>
    <t>p/4wk</t>
  </si>
  <si>
    <r>
      <t xml:space="preserve">25v </t>
    </r>
    <r>
      <rPr>
        <b/>
        <sz val="10"/>
        <color rgb="FF00B050"/>
        <rFont val="Calibri"/>
        <family val="2"/>
        <scheme val="minor"/>
      </rPr>
      <t xml:space="preserve">15rv </t>
    </r>
    <r>
      <rPr>
        <b/>
        <sz val="10"/>
        <color rgb="FF00B0F0"/>
        <rFont val="Calibri"/>
        <family val="2"/>
        <scheme val="minor"/>
      </rPr>
      <t>3rvb</t>
    </r>
  </si>
  <si>
    <r>
      <t xml:space="preserve">25v </t>
    </r>
    <r>
      <rPr>
        <b/>
        <sz val="10"/>
        <color rgb="FF00B050"/>
        <rFont val="Calibri"/>
        <family val="2"/>
        <scheme val="minor"/>
      </rPr>
      <t>15rv</t>
    </r>
  </si>
  <si>
    <r>
      <t xml:space="preserve">25v </t>
    </r>
    <r>
      <rPr>
        <b/>
        <sz val="10"/>
        <color rgb="FF00B050"/>
        <rFont val="Calibri"/>
        <family val="2"/>
        <scheme val="minor"/>
      </rPr>
      <t xml:space="preserve">15rv </t>
    </r>
  </si>
  <si>
    <r>
      <rPr>
        <b/>
        <sz val="10"/>
        <color rgb="FFC00000"/>
        <rFont val="Calibri"/>
        <family val="2"/>
        <scheme val="minor"/>
      </rPr>
      <t>25v</t>
    </r>
    <r>
      <rPr>
        <b/>
        <sz val="10"/>
        <rFont val="Calibri"/>
        <family val="2"/>
        <scheme val="minor"/>
      </rPr>
      <t xml:space="preserve"> </t>
    </r>
    <r>
      <rPr>
        <b/>
        <sz val="10"/>
        <color rgb="FF00B050"/>
        <rFont val="Calibri"/>
        <family val="2"/>
        <scheme val="minor"/>
      </rPr>
      <t>15rv</t>
    </r>
    <r>
      <rPr>
        <b/>
        <sz val="10"/>
        <rFont val="Calibri"/>
        <family val="2"/>
        <scheme val="minor"/>
      </rPr>
      <t xml:space="preserve"> </t>
    </r>
    <r>
      <rPr>
        <b/>
        <sz val="10"/>
        <color rgb="FF00B0F0"/>
        <rFont val="Calibri"/>
        <family val="2"/>
        <scheme val="minor"/>
      </rPr>
      <t>7rvs</t>
    </r>
  </si>
  <si>
    <r>
      <t xml:space="preserve">25v </t>
    </r>
    <r>
      <rPr>
        <b/>
        <sz val="10"/>
        <color rgb="FF00B050"/>
        <rFont val="Calibri"/>
        <family val="2"/>
        <scheme val="minor"/>
      </rPr>
      <t xml:space="preserve">15rv </t>
    </r>
    <r>
      <rPr>
        <b/>
        <sz val="10"/>
        <color rgb="FF00B0F0"/>
        <rFont val="Calibri"/>
        <family val="2"/>
        <scheme val="minor"/>
      </rPr>
      <t>5rvb</t>
    </r>
  </si>
  <si>
    <r>
      <t xml:space="preserve">25v </t>
    </r>
    <r>
      <rPr>
        <b/>
        <sz val="10"/>
        <color rgb="FF00B050"/>
        <rFont val="Calibri"/>
        <family val="2"/>
        <scheme val="minor"/>
      </rPr>
      <t xml:space="preserve">15rv </t>
    </r>
    <r>
      <rPr>
        <b/>
        <sz val="10"/>
        <color rgb="FF00B0F0"/>
        <rFont val="Calibri"/>
        <family val="2"/>
        <scheme val="minor"/>
      </rPr>
      <t>5rvS</t>
    </r>
  </si>
  <si>
    <r>
      <t xml:space="preserve">25v </t>
    </r>
    <r>
      <rPr>
        <b/>
        <sz val="10"/>
        <color rgb="FF00B050"/>
        <rFont val="Calibri"/>
        <family val="2"/>
        <scheme val="minor"/>
      </rPr>
      <t>15rv</t>
    </r>
    <r>
      <rPr>
        <b/>
        <sz val="10"/>
        <color rgb="FFC00000"/>
        <rFont val="Calibri"/>
        <family val="2"/>
        <scheme val="minor"/>
      </rPr>
      <t xml:space="preserve"> </t>
    </r>
    <r>
      <rPr>
        <b/>
        <sz val="10"/>
        <color rgb="FF00B0F0"/>
        <rFont val="Calibri"/>
        <family val="2"/>
        <scheme val="minor"/>
      </rPr>
      <t>9rvs</t>
    </r>
  </si>
  <si>
    <t xml:space="preserve">Penisoen </t>
  </si>
  <si>
    <t>compensatie</t>
  </si>
  <si>
    <t>nvt</t>
  </si>
  <si>
    <t>BWV</t>
  </si>
  <si>
    <t>ADV/RV</t>
  </si>
  <si>
    <t>RVS/RVB</t>
  </si>
  <si>
    <t>Assistent uitvoerder</t>
  </si>
  <si>
    <t>V-699-NT</t>
  </si>
  <si>
    <t>Vergoeding zorg € 20,67</t>
  </si>
  <si>
    <t>82-VZJ-2</t>
  </si>
  <si>
    <r>
      <t>Vredespaleis Den Haag 34km, Lantaarnvenster R'dam 29km, Kralingseweg 179 R'dam 22 km</t>
    </r>
    <r>
      <rPr>
        <sz val="8"/>
        <color rgb="FFFF0000"/>
        <rFont val="Calibri"/>
        <family val="2"/>
        <scheme val="minor"/>
      </rPr>
      <t xml:space="preserve"> (schrijft zelf 23km)</t>
    </r>
    <r>
      <rPr>
        <sz val="8"/>
        <rFont val="Calibri"/>
        <family val="2"/>
        <scheme val="minor"/>
      </rPr>
      <t xml:space="preserve">; Voorstraat Voorburg 38 km </t>
    </r>
    <r>
      <rPr>
        <sz val="8"/>
        <color rgb="FFFF0000"/>
        <rFont val="Calibri"/>
        <family val="2"/>
        <scheme val="minor"/>
      </rPr>
      <t>(schrijft 37km)</t>
    </r>
    <r>
      <rPr>
        <sz val="8"/>
        <rFont val="Calibri"/>
        <family val="2"/>
        <scheme val="minor"/>
      </rPr>
      <t xml:space="preserve">; Petrus Pauluskerk Leidschendam 31km </t>
    </r>
    <r>
      <rPr>
        <sz val="8"/>
        <color rgb="FFFF0000"/>
        <rFont val="Calibri"/>
        <family val="2"/>
        <scheme val="minor"/>
      </rPr>
      <t>(schrijft 33km)</t>
    </r>
    <r>
      <rPr>
        <sz val="8"/>
        <rFont val="Calibri"/>
        <family val="2"/>
        <scheme val="minor"/>
      </rPr>
      <t xml:space="preserve">; Kerkstraat Voorburg 31km </t>
    </r>
    <r>
      <rPr>
        <sz val="8"/>
        <color rgb="FFFF0000"/>
        <rFont val="Calibri"/>
        <family val="2"/>
        <scheme val="minor"/>
      </rPr>
      <t>(schrijft 33k);</t>
    </r>
    <r>
      <rPr>
        <sz val="8"/>
        <rFont val="Calibri"/>
        <family val="2"/>
        <scheme val="minor"/>
      </rPr>
      <t xml:space="preserve"> Koninginnegracht Den Haag 33km </t>
    </r>
    <r>
      <rPr>
        <sz val="8"/>
        <color rgb="FFFF0000"/>
        <rFont val="Calibri"/>
        <family val="2"/>
        <scheme val="minor"/>
      </rPr>
      <t>(schrijft 27 als hij stukje meerijdt)</t>
    </r>
    <r>
      <rPr>
        <sz val="8"/>
        <rFont val="Calibri"/>
        <family val="2"/>
        <scheme val="minor"/>
      </rPr>
      <t>; Tiber, den Haag 27km; Rokin 112, amsterdam 71 km</t>
    </r>
    <r>
      <rPr>
        <sz val="8"/>
        <color rgb="FFFF0000"/>
        <rFont val="Calibri"/>
        <family val="2"/>
        <scheme val="minor"/>
      </rPr>
      <t xml:space="preserve"> (schrijft 70km);</t>
    </r>
    <r>
      <rPr>
        <sz val="8"/>
        <rFont val="Calibri"/>
        <family val="2"/>
        <scheme val="minor"/>
      </rPr>
      <t xml:space="preserve"> Concertgebouw 73km; </t>
    </r>
  </si>
  <si>
    <t>LET op inhouden tabelvoordeel ter inlossing geldlening</t>
  </si>
  <si>
    <t>T4.9 FL1 FN4 SN2 (104%)</t>
  </si>
  <si>
    <t>KV/C</t>
  </si>
  <si>
    <t>Stipp pensioen grondslag</t>
  </si>
  <si>
    <t xml:space="preserve"> = pensioengevend salaris – franchise (uurfranchise x pensioengevende uren) </t>
  </si>
  <si>
    <t>https://www.stippensioen.nl/werkgever/pensioenadministratie/pensioengevend-loon-en-pensioengrondslag-berekenen/</t>
  </si>
  <si>
    <t>Compensatie bouwpensioen</t>
  </si>
  <si>
    <t>Compensatie UTA</t>
  </si>
  <si>
    <t>Urr franchiche stipp</t>
  </si>
  <si>
    <t>Compensatie SAVG</t>
  </si>
  <si>
    <t>Reserveren</t>
  </si>
  <si>
    <t>Akoestische maatregelen Schiphol 61km</t>
  </si>
  <si>
    <t>Betaald aan loonbeslag:</t>
  </si>
  <si>
    <t>Nijmegen gemiddelde heen/terug 49km</t>
  </si>
  <si>
    <t xml:space="preserve">Dennis Aarts </t>
  </si>
  <si>
    <t>T4.11 starttabel 2e halfjaar</t>
  </si>
  <si>
    <t>Aflossing geldlening:</t>
  </si>
  <si>
    <t>T4.9 FL15 FN1 SN2 104%</t>
  </si>
  <si>
    <t>27-11-25 bet</t>
  </si>
  <si>
    <t>Schuld TGN:</t>
  </si>
  <si>
    <t>Joey Cuperus</t>
  </si>
  <si>
    <t>Voorschot 08-08-2025 € 5195,00</t>
  </si>
  <si>
    <t>Max 185,- P/periode betalen:</t>
  </si>
  <si>
    <t>uta/niv</t>
  </si>
  <si>
    <t>Eric de Jong</t>
  </si>
  <si>
    <t>LP4 14km (€ 0,23 gaat op de fiets)</t>
  </si>
  <si>
    <t>Aanvulling Z € 171,65 netto</t>
  </si>
  <si>
    <t>Stipp</t>
  </si>
  <si>
    <r>
      <t xml:space="preserve">25v </t>
    </r>
    <r>
      <rPr>
        <b/>
        <sz val="10"/>
        <color rgb="FF00B050"/>
        <rFont val="Calibri"/>
        <family val="2"/>
        <scheme val="minor"/>
      </rPr>
      <t>15rv</t>
    </r>
    <r>
      <rPr>
        <b/>
        <sz val="10"/>
        <color rgb="FFC00000"/>
        <rFont val="Calibri"/>
        <family val="2"/>
        <scheme val="minor"/>
      </rPr>
      <t xml:space="preserve"> </t>
    </r>
    <r>
      <rPr>
        <b/>
        <sz val="10"/>
        <color rgb="FF00B0F0"/>
        <rFont val="Calibri"/>
        <family val="2"/>
        <scheme val="minor"/>
      </rPr>
      <t>10rvb</t>
    </r>
  </si>
  <si>
    <t>LP4 30km</t>
  </si>
  <si>
    <t>LP4 47km</t>
  </si>
  <si>
    <t>werkt 128 uur per 4 weken</t>
  </si>
  <si>
    <t>Tobin van de Kuil</t>
  </si>
  <si>
    <t>StiPP</t>
  </si>
  <si>
    <r>
      <t xml:space="preserve">25v </t>
    </r>
    <r>
      <rPr>
        <b/>
        <sz val="10"/>
        <color rgb="FF00B050"/>
        <rFont val="Calibri"/>
        <family val="2"/>
        <scheme val="minor"/>
      </rPr>
      <t xml:space="preserve">15rv </t>
    </r>
    <r>
      <rPr>
        <b/>
        <sz val="10"/>
        <color rgb="FF00B0F0"/>
        <rFont val="Calibri"/>
        <family val="2"/>
        <scheme val="minor"/>
      </rPr>
      <t>11rvs</t>
    </r>
  </si>
  <si>
    <t>T4.5 starttabel 1st halfjaar</t>
  </si>
  <si>
    <t>Herman Vos</t>
  </si>
  <si>
    <t>V-210-JR</t>
  </si>
  <si>
    <t>€ 1,44 per gewerkt uur lease bedrijfsauto</t>
  </si>
  <si>
    <r>
      <t xml:space="preserve">25v </t>
    </r>
    <r>
      <rPr>
        <b/>
        <sz val="10"/>
        <color rgb="FF00B050"/>
        <rFont val="Calibri"/>
        <family val="2"/>
        <scheme val="minor"/>
      </rPr>
      <t>20rv</t>
    </r>
    <r>
      <rPr>
        <b/>
        <sz val="10"/>
        <color rgb="FFC00000"/>
        <rFont val="Calibri"/>
        <family val="2"/>
        <scheme val="minor"/>
      </rPr>
      <t xml:space="preserve"> </t>
    </r>
    <r>
      <rPr>
        <b/>
        <sz val="10"/>
        <color rgb="FF00B0F0"/>
        <rFont val="Calibri"/>
        <family val="2"/>
        <scheme val="minor"/>
      </rPr>
      <t>10rvs</t>
    </r>
  </si>
  <si>
    <t>Janssen de Jong OnderhoudPlus 14km</t>
  </si>
  <si>
    <t xml:space="preserve">Woonplus Schiedam </t>
  </si>
  <si>
    <t>Aries Provence</t>
  </si>
  <si>
    <t>Het Groot Kwartier 85km</t>
  </si>
  <si>
    <t>Gregory de Graaf</t>
  </si>
  <si>
    <t>Verklaring V-210-JR</t>
  </si>
  <si>
    <t>Remco van Doorne</t>
  </si>
  <si>
    <t>John van der Wel</t>
  </si>
  <si>
    <t>97-GFD-4</t>
  </si>
  <si>
    <t>VrWAZO</t>
  </si>
  <si>
    <t>Bijtelling 97-GFD-4</t>
  </si>
  <si>
    <t>Voorschot p-kosten Nijmegen (14-4)</t>
  </si>
  <si>
    <t>Verklaring 34-LK-NH</t>
  </si>
  <si>
    <t>Onkosten betalen op rekening Remco: NL60 RABO 0102 064 024 t.n.v. R. van Doorne</t>
  </si>
  <si>
    <t>Loon betalen onder bewindvoering: NL45 ABNA 0877 629 366 t.n.v. R. van Doorne e.o.</t>
  </si>
  <si>
    <t>Betalen loonbeslag:</t>
  </si>
  <si>
    <t>T4.5 Starttabel 2e halfjaar</t>
  </si>
  <si>
    <r>
      <t>Het Groot Kwartier 39km</t>
    </r>
    <r>
      <rPr>
        <sz val="8"/>
        <color rgb="FFFF0000"/>
        <rFont val="Calibri"/>
        <family val="2"/>
        <scheme val="minor"/>
      </rPr>
      <t xml:space="preserve"> (schrijft 40)</t>
    </r>
  </si>
  <si>
    <t>Huis te Manpad 35km</t>
  </si>
  <si>
    <t>wer-werk km € 0,28 (€ 0,32 naar de klant)</t>
  </si>
  <si>
    <t>Michael Windhorst</t>
  </si>
  <si>
    <t>V-695-HK</t>
  </si>
  <si>
    <t>Bijtelling V-695-HK</t>
  </si>
  <si>
    <t>Westfries Museum 40km</t>
  </si>
  <si>
    <t>Bijtelling 22%</t>
  </si>
  <si>
    <t>Let op: Bijtelling - welke tabel</t>
  </si>
  <si>
    <t>34-LK-NH</t>
  </si>
  <si>
    <t>Betalen Bewind:</t>
  </si>
  <si>
    <t>Restant loonbeslag:</t>
  </si>
  <si>
    <t>Netto € 296,04</t>
  </si>
  <si>
    <t>WAZO nog nabetalen 4 * 8 uur</t>
  </si>
  <si>
    <t>T4.9 FL8 FN1 SN1</t>
  </si>
  <si>
    <t>Bijtelling 04-SP-VN</t>
  </si>
  <si>
    <t>Betalen Shafieq:</t>
  </si>
  <si>
    <t>Betalen Youri:</t>
  </si>
  <si>
    <t>Betalen Remco:</t>
  </si>
  <si>
    <r>
      <t xml:space="preserve">25v </t>
    </r>
    <r>
      <rPr>
        <b/>
        <sz val="10"/>
        <color rgb="FF00B050"/>
        <rFont val="Calibri"/>
        <family val="2"/>
        <scheme val="minor"/>
      </rPr>
      <t>20rv 7</t>
    </r>
    <r>
      <rPr>
        <b/>
        <sz val="10"/>
        <color rgb="FF00B0F0"/>
        <rFont val="Calibri"/>
        <family val="2"/>
        <scheme val="minor"/>
      </rPr>
      <t>rvs</t>
    </r>
  </si>
  <si>
    <t>MaV8</t>
  </si>
  <si>
    <t>VrV8</t>
  </si>
  <si>
    <t>MaE8 VrWAZO</t>
  </si>
  <si>
    <t>VrE2</t>
  </si>
  <si>
    <t>DiE5</t>
  </si>
  <si>
    <t>VrE8</t>
  </si>
  <si>
    <t>WoE8</t>
  </si>
  <si>
    <t>VrE4</t>
  </si>
  <si>
    <t>DoE1</t>
  </si>
  <si>
    <t>DoE8 VrE8</t>
  </si>
  <si>
    <t>DoE2 VrE3</t>
  </si>
  <si>
    <t>MaEZ DiZ8 95% VrE8</t>
  </si>
  <si>
    <t>Week 19 dubbel betaald € -569,28 van de € 754,00</t>
  </si>
  <si>
    <t>Week 19 dubbel betaald restant van € 754,00</t>
  </si>
  <si>
    <t>Aanvulling ZW € 143,37</t>
  </si>
  <si>
    <r>
      <rPr>
        <sz val="11"/>
        <rFont val="Calibri"/>
        <family val="2"/>
        <scheme val="minor"/>
      </rPr>
      <t>Ma t/m VrZ7,4</t>
    </r>
    <r>
      <rPr>
        <b/>
        <sz val="11"/>
        <color rgb="FFFFFFCC"/>
        <rFont val="Calibri"/>
        <family val="2"/>
        <scheme val="minor"/>
      </rPr>
      <t xml:space="preserve"> - Restant loonbeslag:</t>
    </r>
  </si>
  <si>
    <t xml:space="preserve">Leegloop </t>
  </si>
  <si>
    <t>MaEZ8 Di-VrZ8</t>
  </si>
  <si>
    <t>2e ziekmelding, omvang dienstverband 7,87</t>
  </si>
  <si>
    <t>MaE1,5 DiE1 DoV2,5</t>
  </si>
  <si>
    <t>Inhouden boetes deel 1</t>
  </si>
  <si>
    <t>Inhouden boetes deel 2</t>
  </si>
  <si>
    <t>Inhouden boetes deel 4</t>
  </si>
  <si>
    <t>Inhouden boetes deel 3</t>
  </si>
  <si>
    <t>WoKV8 DoKV2,5</t>
  </si>
  <si>
    <t>Het Groot Kwartier 58km, Stadsschouwburg Nijmegen 18km, Kaatsheuvel 83km, Huis73 56km</t>
  </si>
  <si>
    <t>E40</t>
  </si>
  <si>
    <t xml:space="preserve">MaE1 DiE1 WoE8 </t>
  </si>
  <si>
    <t>MaF8</t>
  </si>
  <si>
    <t>MaF8 DiE2,5</t>
  </si>
  <si>
    <r>
      <rPr>
        <sz val="11"/>
        <color theme="1"/>
        <rFont val="Calibri"/>
        <family val="2"/>
        <scheme val="minor"/>
      </rPr>
      <t xml:space="preserve"> MaF7,5</t>
    </r>
    <r>
      <rPr>
        <b/>
        <sz val="11"/>
        <color rgb="FFFFFFD9"/>
        <rFont val="Calibri"/>
        <family val="2"/>
        <scheme val="minor"/>
      </rPr>
      <t xml:space="preserve"> - Betalen Shafieq:</t>
    </r>
  </si>
  <si>
    <t>MaF8 VrE8</t>
  </si>
  <si>
    <t>MaF8 VrKV2</t>
  </si>
  <si>
    <t>MaF8 DiE8</t>
  </si>
  <si>
    <t>Stadsschouwburg Nijmegen 18km, Kaatsheuvel 83km, Huis73 56km, Groot kwartier 58km</t>
  </si>
  <si>
    <t>MaF8 E32</t>
  </si>
  <si>
    <t xml:space="preserve">MaF8 </t>
  </si>
  <si>
    <r>
      <rPr>
        <sz val="11"/>
        <rFont val="Calibri"/>
        <family val="2"/>
        <scheme val="minor"/>
      </rPr>
      <t>Z100% -</t>
    </r>
    <r>
      <rPr>
        <b/>
        <sz val="11"/>
        <color rgb="FFFFFFD9"/>
        <rFont val="Calibri"/>
        <family val="2"/>
        <scheme val="minor"/>
      </rPr>
      <t xml:space="preserve"> Betalen Sander:</t>
    </r>
  </si>
  <si>
    <t>Declaratie materiaal €37,38</t>
  </si>
  <si>
    <t>Leegloop</t>
  </si>
  <si>
    <t>MaF8 Wo t/m Vr E24</t>
  </si>
  <si>
    <t>MaF8 WoE0,5 DoE1 VrE3</t>
  </si>
  <si>
    <t>MaF8 VrRV6</t>
  </si>
  <si>
    <t>MaF8 DiE8 DoE1</t>
  </si>
  <si>
    <t>MaF8 DiKV8 DoV8 VrKV2,5</t>
  </si>
  <si>
    <t>MaF8 DiV8 WoV8 DoE8 VrE8</t>
  </si>
  <si>
    <t>Correctie teveel km betaald week 21</t>
  </si>
  <si>
    <t>€9,- prive parkeerkosten</t>
  </si>
  <si>
    <t>MaF8 - Inhouding onbetaalde eTol 2 x € 10,57</t>
  </si>
  <si>
    <t>MaF6,5</t>
  </si>
  <si>
    <t>Timmerkracht 1</t>
  </si>
  <si>
    <t>T4.9 FL23 FN1 SN2 (104%)</t>
  </si>
  <si>
    <t>MaF8 DiKV8 V24</t>
  </si>
  <si>
    <t>Aanvoerder beheer materieel</t>
  </si>
  <si>
    <t>T4.11 Starttabel 1st halfjaar</t>
  </si>
  <si>
    <t>MaE1,5 DiE1</t>
  </si>
  <si>
    <t>inhouden CJIB d.d. 20-05-2026</t>
  </si>
  <si>
    <t>LP4 14km (€ 0,25 gaat op de fiets)</t>
  </si>
  <si>
    <t>E32 - Inhouding parkeerboete d.d. 23-05 € 80,82</t>
  </si>
  <si>
    <t>DiE2,5 WoE1</t>
  </si>
  <si>
    <t>WoE2</t>
  </si>
  <si>
    <t>DoE4,5</t>
  </si>
  <si>
    <t>VrE3</t>
  </si>
  <si>
    <t>WoE2,5</t>
  </si>
  <si>
    <t>€106,55 parkeervergunning</t>
  </si>
  <si>
    <r>
      <rPr>
        <sz val="11"/>
        <rFont val="Calibri"/>
        <family val="2"/>
        <scheme val="minor"/>
      </rPr>
      <t>VrE4</t>
    </r>
    <r>
      <rPr>
        <b/>
        <sz val="11"/>
        <rFont val="Calibri"/>
        <family val="2"/>
        <scheme val="minor"/>
      </rPr>
      <t xml:space="preserve"> -</t>
    </r>
    <r>
      <rPr>
        <b/>
        <sz val="11"/>
        <color rgb="FFFFFFD9"/>
        <rFont val="Calibri"/>
        <family val="2"/>
        <scheme val="minor"/>
      </rPr>
      <t xml:space="preserve"> Betalen Bewind:</t>
    </r>
  </si>
  <si>
    <t>DiV8 - vraag erom via whatsapp</t>
  </si>
  <si>
    <t>Parkeerkosten € 45,00 via FA</t>
  </si>
  <si>
    <t>VrRV8 - Declaratie tunnel - €13,16</t>
  </si>
  <si>
    <t>DiKV4,5 WoV1</t>
  </si>
  <si>
    <t>Saldo KV is nu -1,5</t>
  </si>
  <si>
    <t>V40</t>
  </si>
  <si>
    <t>1 dag cursus 3 dagen leegloop</t>
  </si>
  <si>
    <t>Heilige Hartkerk Vught 58km, Stadsschouwburg Nijmegen 18km, Kaatsheuvel 83km, Huis73 56km</t>
  </si>
  <si>
    <t>25v 15rv 9rvs</t>
  </si>
  <si>
    <t>Bellevoystraat Rotterdam 28km</t>
  </si>
  <si>
    <t>DoE0,5</t>
  </si>
  <si>
    <t>DoKV1,5</t>
  </si>
  <si>
    <t>MaE8 WoE2,5</t>
  </si>
  <si>
    <t>DiE3,5</t>
  </si>
  <si>
    <t>VrE1</t>
  </si>
  <si>
    <r>
      <t>Beelden aan Zee 36km, Vredespaleis Den Haag 34km, Lantaarnvenster R'dam 29km, Kralingseweg 179 R'dam 22 km</t>
    </r>
    <r>
      <rPr>
        <sz val="8"/>
        <color rgb="FFFF0000"/>
        <rFont val="Calibri"/>
        <family val="2"/>
        <scheme val="minor"/>
      </rPr>
      <t xml:space="preserve"> (schrijft zelf 23km)</t>
    </r>
    <r>
      <rPr>
        <sz val="8"/>
        <rFont val="Calibri"/>
        <family val="2"/>
        <scheme val="minor"/>
      </rPr>
      <t xml:space="preserve">; Voorstraat Voorburg 38 km </t>
    </r>
    <r>
      <rPr>
        <sz val="8"/>
        <color rgb="FFFF0000"/>
        <rFont val="Calibri"/>
        <family val="2"/>
        <scheme val="minor"/>
      </rPr>
      <t>(schrijft 37km)</t>
    </r>
    <r>
      <rPr>
        <sz val="8"/>
        <rFont val="Calibri"/>
        <family val="2"/>
        <scheme val="minor"/>
      </rPr>
      <t xml:space="preserve">; Petrus Pauluskerk Leidschendam 31km </t>
    </r>
    <r>
      <rPr>
        <sz val="8"/>
        <color rgb="FFFF0000"/>
        <rFont val="Calibri"/>
        <family val="2"/>
        <scheme val="minor"/>
      </rPr>
      <t>(schrijft 33km)</t>
    </r>
    <r>
      <rPr>
        <sz val="8"/>
        <rFont val="Calibri"/>
        <family val="2"/>
        <scheme val="minor"/>
      </rPr>
      <t xml:space="preserve">; Kerkstraat Voorburg 31km </t>
    </r>
    <r>
      <rPr>
        <sz val="8"/>
        <color rgb="FFFF0000"/>
        <rFont val="Calibri"/>
        <family val="2"/>
        <scheme val="minor"/>
      </rPr>
      <t>(schrijft 33k);</t>
    </r>
    <r>
      <rPr>
        <sz val="8"/>
        <rFont val="Calibri"/>
        <family val="2"/>
        <scheme val="minor"/>
      </rPr>
      <t xml:space="preserve"> Koninginnegracht Den Haag 33km </t>
    </r>
    <r>
      <rPr>
        <sz val="8"/>
        <color rgb="FFFF0000"/>
        <rFont val="Calibri"/>
        <family val="2"/>
        <scheme val="minor"/>
      </rPr>
      <t>(schrijft 27 als hij stukje meerijdt)</t>
    </r>
    <r>
      <rPr>
        <sz val="8"/>
        <rFont val="Calibri"/>
        <family val="2"/>
        <scheme val="minor"/>
      </rPr>
      <t>; Tiber, den Haag 27km; Rokin 112, amsterdam 71 km</t>
    </r>
    <r>
      <rPr>
        <sz val="8"/>
        <color rgb="FFFF0000"/>
        <rFont val="Calibri"/>
        <family val="2"/>
        <scheme val="minor"/>
      </rPr>
      <t xml:space="preserve"> (schrijft 70km);</t>
    </r>
    <r>
      <rPr>
        <sz val="8"/>
        <rFont val="Calibri"/>
        <family val="2"/>
        <scheme val="minor"/>
      </rPr>
      <t xml:space="preserve"> Concertgebouw 73km; </t>
    </r>
  </si>
  <si>
    <t>Ma t/m Wo V24</t>
  </si>
  <si>
    <t>Erik heeft erom gevraagd via whatsapp</t>
  </si>
  <si>
    <t>DiE3 WoV8</t>
  </si>
  <si>
    <t>WoKV4 VrE3</t>
  </si>
  <si>
    <t>conform afspraak Remco = ziekenhuisbezoek meerdere afspraken</t>
  </si>
  <si>
    <t>Tabelvoordeel:</t>
  </si>
  <si>
    <t>€ 283,62 WAZO</t>
  </si>
  <si>
    <t>Teveel KM betaald 100km</t>
  </si>
  <si>
    <t>Inhouding CJIB d.d. 21-05-2026 + 22-05-2026</t>
  </si>
  <si>
    <t>MaE1 WoV7,5E0,5</t>
  </si>
  <si>
    <t>MaF8 DiWoV6,8</t>
  </si>
  <si>
    <t>25v 20rv 8rvs</t>
  </si>
  <si>
    <t xml:space="preserve">25v 20rv </t>
  </si>
  <si>
    <t xml:space="preserve">25v 15rv </t>
  </si>
  <si>
    <t>25v 7atv</t>
  </si>
  <si>
    <t>0,25 Fiets</t>
  </si>
  <si>
    <t>Nabetaling km P01 t/m P05 € 60,80</t>
  </si>
  <si>
    <t>VBS-24-V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</si>
</sst>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8" formatCode="&quot;€&quot;\ #,##0.00;[Red]&quot;€&quot;\ \-#,##0.00"/>
    <numFmt numFmtId="44" formatCode="_ &quot;€&quot;\ * #,##0.00_ ;_ &quot;€&quot;\ * \-#,##0.00_ ;_ &quot;€&quot;\ * &quot;-&quot;??_ ;_ @_ "/>
    <numFmt numFmtId="43" formatCode="_ * #,##0.00_ ;_ * \-#,##0.00_ ;_ * &quot;-&quot;??_ ;_ @_ "/>
    <numFmt numFmtId="164" formatCode="&quot;€&quot;\ #,##0.00"/>
    <numFmt numFmtId="165" formatCode="&quot;€&quot;\ #,##0.000"/>
    <numFmt numFmtId="166" formatCode="0.00000%"/>
    <numFmt numFmtId="167" formatCode="0.0"/>
    <numFmt numFmtId="168" formatCode="0.000%"/>
    <numFmt numFmtId="169" formatCode="0.0000%"/>
    <numFmt numFmtId="170" formatCode="0.000"/>
    <numFmt numFmtId="171" formatCode="&quot;€&quot;\ #,##0.0000"/>
    <numFmt numFmtId="172" formatCode="&quot;€&quot;\ #,##0.00000"/>
    <numFmt numFmtId="173" formatCode="#,##0.0000"/>
  </numFmts>
  <fonts count="143">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sz val="11"/>
      <color rgb="FFC00000"/>
      <name val="Calibri"/>
      <family val="2"/>
      <scheme val="minor"/>
    </font>
    <font>
      <b/>
      <sz val="11"/>
      <color rgb="FFC00000"/>
      <name val="Calibri"/>
      <family val="2"/>
      <scheme val="minor"/>
    </font>
    <font>
      <b/>
      <sz val="10"/>
      <name val="Calibri"/>
      <family val="2"/>
      <scheme val="minor"/>
    </font>
    <font>
      <sz val="10"/>
      <name val="Calibri"/>
      <family val="2"/>
      <scheme val="minor"/>
    </font>
    <font>
      <sz val="10"/>
      <color theme="1"/>
      <name val="Calibri"/>
      <family val="2"/>
      <scheme val="minor"/>
    </font>
    <font>
      <b/>
      <sz val="10"/>
      <color theme="1"/>
      <name val="Calibri"/>
      <family val="2"/>
      <scheme val="minor"/>
    </font>
    <font>
      <b/>
      <u/>
      <sz val="11"/>
      <color rgb="FFFFC000"/>
      <name val="Calibri"/>
      <family val="2"/>
      <scheme val="minor"/>
    </font>
    <font>
      <b/>
      <u/>
      <sz val="11"/>
      <color theme="1"/>
      <name val="Calibri"/>
      <family val="2"/>
      <scheme val="minor"/>
    </font>
    <font>
      <i/>
      <sz val="8"/>
      <color theme="1"/>
      <name val="Calibri"/>
      <family val="2"/>
      <scheme val="minor"/>
    </font>
    <font>
      <u/>
      <sz val="11"/>
      <color theme="1"/>
      <name val="Calibri"/>
      <family val="2"/>
      <scheme val="minor"/>
    </font>
    <font>
      <b/>
      <i/>
      <sz val="8"/>
      <color theme="1"/>
      <name val="Calibri"/>
      <family val="2"/>
      <scheme val="minor"/>
    </font>
    <font>
      <b/>
      <sz val="11"/>
      <color theme="4" tint="-0.249977111117893"/>
      <name val="Calibri"/>
      <family val="2"/>
      <scheme val="minor"/>
    </font>
    <font>
      <b/>
      <sz val="10"/>
      <color rgb="FF000000"/>
      <name val="Arial-BoldMT"/>
    </font>
    <font>
      <sz val="10"/>
      <color rgb="FFC00000"/>
      <name val="Calibri"/>
      <family val="2"/>
      <scheme val="minor"/>
    </font>
    <font>
      <b/>
      <sz val="10"/>
      <color rgb="FFC00000"/>
      <name val="Calibri"/>
      <family val="2"/>
      <scheme val="minor"/>
    </font>
    <font>
      <b/>
      <sz val="10"/>
      <color rgb="FF00B050"/>
      <name val="Calibri"/>
      <family val="2"/>
      <scheme val="minor"/>
    </font>
    <font>
      <b/>
      <sz val="10"/>
      <color rgb="FF00B0F0"/>
      <name val="Calibri"/>
      <family val="2"/>
      <scheme val="minor"/>
    </font>
    <font>
      <sz val="11"/>
      <color theme="0" tint="-0.14999847407452621"/>
      <name val="Calibri"/>
      <family val="2"/>
      <scheme val="minor"/>
    </font>
    <font>
      <b/>
      <sz val="10"/>
      <color theme="0" tint="-0.14999847407452621"/>
      <name val="Calibri"/>
      <family val="2"/>
      <scheme val="minor"/>
    </font>
    <font>
      <sz val="10"/>
      <color theme="0" tint="-0.14999847407452621"/>
      <name val="Calibri"/>
      <family val="2"/>
      <scheme val="minor"/>
    </font>
    <font>
      <b/>
      <sz val="10"/>
      <color theme="4" tint="-0.249977111117893"/>
      <name val="Calibri"/>
      <family val="2"/>
      <scheme val="minor"/>
    </font>
    <font>
      <b/>
      <sz val="11"/>
      <color rgb="FF00B050"/>
      <name val="Calibri"/>
      <family val="2"/>
      <scheme val="minor"/>
    </font>
    <font>
      <sz val="10"/>
      <color rgb="FF00B050"/>
      <name val="Calibri"/>
      <family val="2"/>
      <scheme val="minor"/>
    </font>
    <font>
      <sz val="10"/>
      <name val="Arial"/>
      <family val="2"/>
    </font>
    <font>
      <sz val="11"/>
      <color rgb="FF0070C0"/>
      <name val="Calibri"/>
      <family val="2"/>
      <scheme val="minor"/>
    </font>
    <font>
      <sz val="10"/>
      <color rgb="FF0070C0"/>
      <name val="Calibri"/>
      <family val="2"/>
      <scheme val="minor"/>
    </font>
    <font>
      <b/>
      <sz val="10"/>
      <color rgb="FF0070C0"/>
      <name val="Calibri"/>
      <family val="2"/>
      <scheme val="minor"/>
    </font>
    <font>
      <sz val="9"/>
      <name val="Calibri"/>
      <family val="2"/>
      <scheme val="minor"/>
    </font>
    <font>
      <sz val="10"/>
      <color theme="0" tint="-4.9989318521683403E-2"/>
      <name val="Calibri"/>
      <family val="2"/>
      <scheme val="minor"/>
    </font>
    <font>
      <b/>
      <sz val="10"/>
      <color theme="0" tint="-4.9989318521683403E-2"/>
      <name val="Calibri"/>
      <family val="2"/>
      <scheme val="minor"/>
    </font>
    <font>
      <sz val="11"/>
      <color theme="0" tint="-4.9989318521683403E-2"/>
      <name val="Calibri"/>
      <family val="2"/>
      <scheme val="minor"/>
    </font>
    <font>
      <b/>
      <sz val="11"/>
      <color rgb="FFFF0000"/>
      <name val="Calibri"/>
      <family val="2"/>
      <scheme val="minor"/>
    </font>
    <font>
      <sz val="10"/>
      <color theme="0"/>
      <name val="Calibri"/>
      <family val="2"/>
      <scheme val="minor"/>
    </font>
    <font>
      <b/>
      <sz val="10"/>
      <color rgb="FF7030A0"/>
      <name val="Calibri"/>
      <family val="2"/>
      <scheme val="minor"/>
    </font>
    <font>
      <b/>
      <sz val="11"/>
      <color theme="0"/>
      <name val="Calibri"/>
      <family val="2"/>
      <scheme val="minor"/>
    </font>
    <font>
      <b/>
      <sz val="10"/>
      <color theme="0"/>
      <name val="Calibri"/>
      <family val="2"/>
      <scheme val="minor"/>
    </font>
    <font>
      <sz val="11"/>
      <color rgb="FFFF0000"/>
      <name val="Calibri"/>
      <family val="2"/>
      <scheme val="minor"/>
    </font>
    <font>
      <sz val="9"/>
      <color theme="0" tint="-4.9989318521683403E-2"/>
      <name val="Calibri"/>
      <family val="2"/>
      <scheme val="minor"/>
    </font>
    <font>
      <sz val="9"/>
      <color theme="0" tint="-0.14999847407452621"/>
      <name val="Calibri"/>
      <family val="2"/>
      <scheme val="minor"/>
    </font>
    <font>
      <sz val="10"/>
      <color rgb="FF00B0F0"/>
      <name val="Calibri"/>
      <family val="2"/>
      <scheme val="minor"/>
    </font>
    <font>
      <b/>
      <sz val="11"/>
      <color theme="0" tint="-0.14999847407452621"/>
      <name val="Calibri"/>
      <family val="2"/>
      <scheme val="minor"/>
    </font>
    <font>
      <sz val="8"/>
      <name val="Calibri"/>
      <family val="2"/>
      <scheme val="minor"/>
    </font>
    <font>
      <i/>
      <sz val="8"/>
      <name val="Calibri"/>
      <family val="2"/>
      <scheme val="minor"/>
    </font>
    <font>
      <sz val="8"/>
      <color theme="0" tint="-4.9989318521683403E-2"/>
      <name val="Calibri"/>
      <family val="2"/>
      <scheme val="minor"/>
    </font>
    <font>
      <b/>
      <sz val="11"/>
      <color theme="0" tint="-4.9989318521683403E-2"/>
      <name val="Calibri"/>
      <family val="2"/>
      <scheme val="minor"/>
    </font>
    <font>
      <b/>
      <sz val="11"/>
      <color rgb="FF005696"/>
      <name val="Calibri"/>
      <family val="2"/>
      <scheme val="minor"/>
    </font>
    <font>
      <b/>
      <sz val="11"/>
      <color rgb="FF7030A0"/>
      <name val="Calibri"/>
      <family val="2"/>
      <scheme val="minor"/>
    </font>
    <font>
      <sz val="11"/>
      <color theme="0"/>
      <name val="Calibri"/>
      <family val="2"/>
      <scheme val="minor"/>
    </font>
    <font>
      <sz val="8"/>
      <color theme="0" tint="-0.14999847407452621"/>
      <name val="Calibri"/>
      <family val="2"/>
      <scheme val="minor"/>
    </font>
    <font>
      <sz val="11"/>
      <color rgb="FF00B050"/>
      <name val="Calibri"/>
      <family val="2"/>
      <scheme val="minor"/>
    </font>
    <font>
      <b/>
      <sz val="12"/>
      <name val="Calibri"/>
      <family val="2"/>
      <scheme val="minor"/>
    </font>
    <font>
      <b/>
      <sz val="16"/>
      <name val="Calibri"/>
      <family val="2"/>
      <scheme val="minor"/>
    </font>
    <font>
      <sz val="12"/>
      <name val="Calibri"/>
      <family val="2"/>
      <scheme val="minor"/>
    </font>
    <font>
      <sz val="11"/>
      <color rgb="FF00B0F0"/>
      <name val="Calibri"/>
      <family val="2"/>
      <scheme val="minor"/>
    </font>
    <font>
      <b/>
      <sz val="8"/>
      <color theme="1"/>
      <name val="Calibri"/>
      <family val="2"/>
      <scheme val="minor"/>
    </font>
    <font>
      <b/>
      <sz val="10"/>
      <color rgb="FFFF0000"/>
      <name val="Calibri"/>
      <family val="2"/>
      <scheme val="minor"/>
    </font>
    <font>
      <b/>
      <u/>
      <sz val="11"/>
      <name val="Calibri"/>
      <family val="2"/>
      <scheme val="minor"/>
    </font>
    <font>
      <sz val="8"/>
      <color theme="1"/>
      <name val="Calibri"/>
      <family val="2"/>
      <scheme val="minor"/>
    </font>
    <font>
      <b/>
      <u/>
      <sz val="10"/>
      <name val="Calibri"/>
      <family val="2"/>
      <scheme val="minor"/>
    </font>
    <font>
      <b/>
      <sz val="9"/>
      <name val="Calibri"/>
      <family val="2"/>
      <scheme val="minor"/>
    </font>
    <font>
      <b/>
      <sz val="9"/>
      <color theme="0" tint="-4.9989318521683403E-2"/>
      <name val="Calibri"/>
      <family val="2"/>
      <scheme val="minor"/>
    </font>
    <font>
      <sz val="7"/>
      <name val="Calibri"/>
      <family val="2"/>
      <scheme val="minor"/>
    </font>
    <font>
      <sz val="11"/>
      <color rgb="FFFFFF00"/>
      <name val="Calibri"/>
      <family val="2"/>
      <scheme val="minor"/>
    </font>
    <font>
      <sz val="8"/>
      <color rgb="FFFF0000"/>
      <name val="Calibri"/>
      <family val="2"/>
      <scheme val="minor"/>
    </font>
    <font>
      <sz val="8"/>
      <color rgb="FFC00000"/>
      <name val="Calibri"/>
      <family val="2"/>
      <scheme val="minor"/>
    </font>
    <font>
      <sz val="11"/>
      <color theme="9" tint="0.59999389629810485"/>
      <name val="Calibri"/>
      <family val="2"/>
      <scheme val="minor"/>
    </font>
    <font>
      <sz val="8"/>
      <color theme="0"/>
      <name val="Calibri"/>
      <family val="2"/>
      <scheme val="minor"/>
    </font>
    <font>
      <b/>
      <sz val="8"/>
      <color rgb="FFC00000"/>
      <name val="Calibri"/>
      <family val="2"/>
      <scheme val="minor"/>
    </font>
    <font>
      <b/>
      <sz val="11"/>
      <color rgb="FF0070C0"/>
      <name val="Calibri"/>
      <family val="2"/>
      <scheme val="minor"/>
    </font>
    <font>
      <i/>
      <sz val="10"/>
      <color rgb="FF0070C0"/>
      <name val="Calibri"/>
      <family val="2"/>
      <scheme val="minor"/>
    </font>
    <font>
      <b/>
      <sz val="11"/>
      <color rgb="FF005696"/>
      <name val="Calibri"/>
      <family val="2"/>
    </font>
    <font>
      <sz val="10"/>
      <color rgb="FFFF0000"/>
      <name val="Calibri"/>
      <family val="2"/>
      <scheme val="minor"/>
    </font>
    <font>
      <sz val="8"/>
      <color rgb="FF00B0F0"/>
      <name val="Calibri"/>
      <family val="2"/>
      <scheme val="minor"/>
    </font>
    <font>
      <sz val="11"/>
      <color theme="1"/>
      <name val="Calibri"/>
      <family val="2"/>
      <scheme val="minor"/>
    </font>
    <font>
      <sz val="11"/>
      <color theme="9" tint="0.39997558519241921"/>
      <name val="Calibri"/>
      <family val="2"/>
      <scheme val="minor"/>
    </font>
    <font>
      <sz val="11"/>
      <color theme="2"/>
      <name val="Calibri"/>
      <family val="2"/>
      <scheme val="minor"/>
    </font>
    <font>
      <b/>
      <sz val="10"/>
      <color theme="2"/>
      <name val="Calibri"/>
      <family val="2"/>
      <scheme val="minor"/>
    </font>
    <font>
      <b/>
      <sz val="11"/>
      <color theme="2"/>
      <name val="Calibri"/>
      <family val="2"/>
      <scheme val="minor"/>
    </font>
    <font>
      <u/>
      <sz val="10"/>
      <color theme="0" tint="-0.14999847407452621"/>
      <name val="Calibri"/>
      <family val="2"/>
      <scheme val="minor"/>
    </font>
    <font>
      <sz val="11"/>
      <color rgb="FFFF6699"/>
      <name val="Calibri"/>
      <family val="2"/>
      <scheme val="minor"/>
    </font>
    <font>
      <sz val="11"/>
      <color rgb="FFFFC000"/>
      <name val="Calibri"/>
      <family val="2"/>
      <scheme val="minor"/>
    </font>
    <font>
      <b/>
      <sz val="10"/>
      <color rgb="FFFF6699"/>
      <name val="Calibri"/>
      <family val="2"/>
      <scheme val="minor"/>
    </font>
    <font>
      <sz val="10"/>
      <color rgb="FFFF6699"/>
      <name val="Calibri"/>
      <family val="2"/>
      <scheme val="minor"/>
    </font>
    <font>
      <b/>
      <sz val="8"/>
      <color theme="0" tint="-4.9989318521683403E-2"/>
      <name val="Calibri"/>
      <family val="2"/>
      <scheme val="minor"/>
    </font>
    <font>
      <sz val="7"/>
      <color rgb="FFC00000"/>
      <name val="Calibri"/>
      <family val="2"/>
      <scheme val="minor"/>
    </font>
    <font>
      <sz val="10"/>
      <color theme="4"/>
      <name val="Calibri"/>
      <family val="2"/>
      <scheme val="minor"/>
    </font>
    <font>
      <sz val="10"/>
      <color theme="0" tint="-0.34998626667073579"/>
      <name val="Calibri"/>
      <family val="2"/>
      <scheme val="minor"/>
    </font>
    <font>
      <b/>
      <sz val="10"/>
      <color theme="0" tint="-0.34998626667073579"/>
      <name val="Calibri"/>
      <family val="2"/>
      <scheme val="minor"/>
    </font>
    <font>
      <sz val="8"/>
      <color theme="0" tint="-0.34998626667073579"/>
      <name val="Calibri"/>
      <family val="2"/>
      <scheme val="minor"/>
    </font>
    <font>
      <sz val="11"/>
      <color theme="0" tint="-0.34998626667073579"/>
      <name val="Calibri"/>
      <family val="2"/>
      <scheme val="minor"/>
    </font>
    <font>
      <b/>
      <sz val="11"/>
      <color theme="9" tint="0.39997558519241921"/>
      <name val="Calibri"/>
      <family val="2"/>
      <scheme val="minor"/>
    </font>
    <font>
      <b/>
      <u/>
      <sz val="10"/>
      <color theme="0" tint="-0.14999847407452621"/>
      <name val="Calibri"/>
      <family val="2"/>
      <scheme val="minor"/>
    </font>
    <font>
      <b/>
      <u/>
      <sz val="11"/>
      <color theme="0" tint="-0.14999847407452621"/>
      <name val="Calibri"/>
      <family val="2"/>
      <scheme val="minor"/>
    </font>
    <font>
      <u/>
      <sz val="11"/>
      <color rgb="FFFF0000"/>
      <name val="Calibri"/>
      <family val="2"/>
      <scheme val="minor"/>
    </font>
    <font>
      <sz val="9"/>
      <color rgb="FFFFFF00"/>
      <name val="Calibri"/>
      <family val="2"/>
      <scheme val="minor"/>
    </font>
    <font>
      <sz val="11"/>
      <color theme="9" tint="0.79998168889431442"/>
      <name val="Calibri"/>
      <family val="2"/>
      <scheme val="minor"/>
    </font>
    <font>
      <sz val="8"/>
      <color rgb="FF000000"/>
      <name val="Calibri"/>
      <family val="2"/>
      <scheme val="minor"/>
    </font>
    <font>
      <sz val="11"/>
      <color rgb="FFFFFF66"/>
      <name val="Calibri"/>
      <family val="2"/>
      <scheme val="minor"/>
    </font>
    <font>
      <b/>
      <sz val="11"/>
      <color theme="0" tint="-0.34998626667073579"/>
      <name val="Calibri"/>
      <family val="2"/>
      <scheme val="minor"/>
    </font>
    <font>
      <b/>
      <u/>
      <sz val="11"/>
      <color rgb="FFFF0000"/>
      <name val="Calibri"/>
      <family val="2"/>
      <scheme val="minor"/>
    </font>
    <font>
      <sz val="11"/>
      <color rgb="FF000000"/>
      <name val="Calibri"/>
      <family val="2"/>
      <scheme val="minor"/>
    </font>
    <font>
      <u/>
      <sz val="11"/>
      <name val="Calibri"/>
      <family val="2"/>
      <scheme val="minor"/>
    </font>
    <font>
      <sz val="9"/>
      <color theme="1"/>
      <name val="Calibri"/>
      <family val="2"/>
      <scheme val="minor"/>
    </font>
    <font>
      <sz val="11"/>
      <color rgb="FFFFFFCC"/>
      <name val="Calibri"/>
      <family val="2"/>
      <scheme val="minor"/>
    </font>
    <font>
      <sz val="10"/>
      <color rgb="FF7030A0"/>
      <name val="Calibri"/>
      <family val="2"/>
      <scheme val="minor"/>
    </font>
    <font>
      <sz val="11"/>
      <color theme="0" tint="-0.499984740745262"/>
      <name val="Calibri"/>
      <family val="2"/>
      <scheme val="minor"/>
    </font>
    <font>
      <b/>
      <sz val="10"/>
      <color theme="0" tint="-0.499984740745262"/>
      <name val="Calibri"/>
      <family val="2"/>
      <scheme val="minor"/>
    </font>
    <font>
      <sz val="10"/>
      <color theme="0" tint="-0.499984740745262"/>
      <name val="Calibri"/>
      <family val="2"/>
      <scheme val="minor"/>
    </font>
    <font>
      <sz val="10"/>
      <color rgb="FFFFFF66"/>
      <name val="Calibri"/>
      <family val="2"/>
      <scheme val="minor"/>
    </font>
    <font>
      <sz val="9"/>
      <color rgb="FF0070C0"/>
      <name val="Calibri"/>
      <family val="2"/>
      <scheme val="minor"/>
    </font>
    <font>
      <b/>
      <sz val="18"/>
      <color rgb="FFC00000"/>
      <name val="Calibri"/>
      <family val="2"/>
      <scheme val="minor"/>
    </font>
    <font>
      <i/>
      <sz val="10"/>
      <color rgb="FF7030A0"/>
      <name val="Calibri"/>
      <family val="2"/>
      <scheme val="minor"/>
    </font>
    <font>
      <sz val="11"/>
      <color rgb="FF7030A0"/>
      <name val="Calibri"/>
      <family val="2"/>
      <scheme val="minor"/>
    </font>
    <font>
      <sz val="10"/>
      <color rgb="FFFFFF00"/>
      <name val="Calibri"/>
      <family val="2"/>
      <scheme val="minor"/>
    </font>
    <font>
      <i/>
      <sz val="10"/>
      <name val="Calibri"/>
      <family val="2"/>
      <scheme val="minor"/>
    </font>
    <font>
      <sz val="11"/>
      <color theme="0" tint="-0.249977111117893"/>
      <name val="Calibri"/>
      <family val="2"/>
      <scheme val="minor"/>
    </font>
    <font>
      <b/>
      <sz val="10"/>
      <color theme="0" tint="-0.249977111117893"/>
      <name val="Calibri"/>
      <family val="2"/>
      <scheme val="minor"/>
    </font>
    <font>
      <b/>
      <sz val="11"/>
      <color theme="0" tint="-0.249977111117893"/>
      <name val="Calibri"/>
      <family val="2"/>
      <scheme val="minor"/>
    </font>
    <font>
      <sz val="10"/>
      <color theme="0" tint="-0.249977111117893"/>
      <name val="Calibri"/>
      <family val="2"/>
      <scheme val="minor"/>
    </font>
    <font>
      <sz val="8"/>
      <color theme="0" tint="-0.249977111117893"/>
      <name val="Calibri"/>
      <family val="2"/>
      <scheme val="minor"/>
    </font>
    <font>
      <b/>
      <sz val="11"/>
      <color rgb="FFFFFFCC"/>
      <name val="Calibri"/>
      <family val="2"/>
      <scheme val="minor"/>
    </font>
    <font>
      <b/>
      <u/>
      <sz val="11"/>
      <color rgb="FFFFFFCC"/>
      <name val="Calibri"/>
      <family val="2"/>
      <scheme val="minor"/>
    </font>
    <font>
      <b/>
      <sz val="11"/>
      <color rgb="FFFFFFD9"/>
      <name val="Calibri"/>
      <family val="2"/>
      <scheme val="minor"/>
    </font>
    <font>
      <b/>
      <u/>
      <sz val="11"/>
      <color rgb="FFFFFFD9"/>
      <name val="Calibri"/>
      <family val="2"/>
      <scheme val="minor"/>
    </font>
    <font>
      <b/>
      <sz val="7"/>
      <color theme="1"/>
      <name val="Calibri"/>
      <family val="2"/>
      <scheme val="minor"/>
    </font>
    <font>
      <sz val="7"/>
      <color rgb="FF000000"/>
      <name val="VetoSans-Light"/>
    </font>
    <font>
      <sz val="7"/>
      <color theme="1"/>
      <name val="Calibri"/>
      <family val="2"/>
      <scheme val="minor"/>
    </font>
    <font>
      <b/>
      <u/>
      <sz val="11"/>
      <color rgb="FF0070C0"/>
      <name val="Calibri"/>
      <family val="2"/>
      <scheme val="minor"/>
    </font>
    <font>
      <b/>
      <sz val="11"/>
      <color rgb="FFFFC000"/>
      <name val="Calibri"/>
      <family val="2"/>
      <scheme val="minor"/>
    </font>
    <font>
      <sz val="11"/>
      <color theme="1"/>
      <name val="Calibri"/>
      <family val="2"/>
    </font>
    <font>
      <i/>
      <sz val="11"/>
      <color theme="1"/>
      <name val="Calibri"/>
      <family val="2"/>
      <scheme val="minor"/>
    </font>
    <font>
      <b/>
      <sz val="10"/>
      <color rgb="FFFFFF00"/>
      <name val="Calibri"/>
      <family val="2"/>
      <scheme val="minor"/>
    </font>
    <font>
      <b/>
      <i/>
      <sz val="10"/>
      <color rgb="FF0070C0"/>
      <name val="Calibri"/>
      <family val="2"/>
      <scheme val="minor"/>
    </font>
    <font>
      <b/>
      <sz val="8"/>
      <name val="Calibri"/>
      <family val="2"/>
      <scheme val="minor"/>
    </font>
    <font>
      <i/>
      <sz val="11"/>
      <color rgb="FF0070C0"/>
      <name val="Calibri"/>
      <family val="2"/>
      <scheme val="minor"/>
    </font>
    <font>
      <b/>
      <sz val="7"/>
      <name val="Calibri"/>
      <family val="2"/>
      <scheme val="minor"/>
    </font>
    <font>
      <sz val="10"/>
      <color theme="5" tint="-0.249977111117893"/>
      <name val="Calibri"/>
      <family val="2"/>
      <scheme val="minor"/>
    </font>
    <font>
      <sz val="9"/>
      <color indexed="81"/>
      <name val="Tahoma"/>
      <family val="2"/>
    </font>
    <font>
      <b/>
      <sz val="9"/>
      <color indexed="81"/>
      <name val="Tahoma"/>
      <family val="2"/>
    </font>
  </fonts>
  <fills count="14">
    <fill>
      <patternFill patternType="none"/>
    </fill>
    <fill>
      <patternFill patternType="gray125"/>
    </fill>
    <fill>
      <patternFill patternType="solid">
        <fgColor rgb="FFFFC000"/>
        <bgColor indexed="64"/>
      </patternFill>
    </fill>
    <fill>
      <patternFill patternType="solid">
        <fgColor theme="9" tint="0.59999389629810485"/>
        <bgColor indexed="64"/>
      </patternFill>
    </fill>
    <fill>
      <patternFill patternType="solid">
        <fgColor rgb="FFFF6699"/>
        <bgColor indexed="64"/>
      </patternFill>
    </fill>
    <fill>
      <patternFill patternType="solid">
        <fgColor theme="4" tint="0.39997558519241921"/>
        <bgColor indexed="64"/>
      </patternFill>
    </fill>
    <fill>
      <patternFill patternType="solid">
        <fgColor theme="1"/>
        <bgColor indexed="64"/>
      </patternFill>
    </fill>
    <fill>
      <patternFill patternType="solid">
        <fgColor theme="0"/>
        <bgColor indexed="64"/>
      </patternFill>
    </fill>
    <fill>
      <patternFill patternType="solid">
        <fgColor rgb="FFC00000"/>
        <bgColor indexed="64"/>
      </patternFill>
    </fill>
    <fill>
      <patternFill patternType="solid">
        <fgColor rgb="FFFFFFCC"/>
        <bgColor indexed="64"/>
      </patternFill>
    </fill>
    <fill>
      <patternFill patternType="solid">
        <fgColor rgb="FFFFFFD9"/>
        <bgColor indexed="64"/>
      </patternFill>
    </fill>
    <fill>
      <patternFill patternType="solid">
        <fgColor rgb="FFFFFF00"/>
        <bgColor indexed="64"/>
      </patternFill>
    </fill>
    <fill>
      <patternFill patternType="solid">
        <fgColor rgb="FF000000"/>
        <bgColor indexed="64"/>
      </patternFill>
    </fill>
    <fill>
      <patternFill patternType="solid">
        <fgColor rgb="FFFFFF99"/>
        <bgColor indexed="64"/>
      </patternFill>
    </fill>
  </fills>
  <borders count="27">
    <border>
      <left/>
      <right/>
      <top/>
      <bottom/>
      <diagonal/>
    </border>
    <border>
      <left/>
      <right/>
      <top/>
      <bottom style="thin">
        <color indexed="64"/>
      </bottom>
      <diagonal/>
    </border>
    <border>
      <left/>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theme="0" tint="-0.14999847407452621"/>
      </bottom>
      <diagonal/>
    </border>
    <border>
      <left/>
      <right/>
      <top/>
      <bottom style="thin">
        <color theme="0" tint="-0.14999847407452621"/>
      </bottom>
      <diagonal/>
    </border>
    <border>
      <left style="thin">
        <color theme="0" tint="-0.14999847407452621"/>
      </left>
      <right/>
      <top/>
      <bottom style="thin">
        <color indexed="64"/>
      </bottom>
      <diagonal/>
    </border>
    <border>
      <left style="thin">
        <color theme="0" tint="-0.14999847407452621"/>
      </left>
      <right style="thin">
        <color theme="0" tint="-0.14999847407452621"/>
      </right>
      <top style="thin">
        <color theme="0" tint="-0.14999847407452621"/>
      </top>
      <bottom style="thin">
        <color indexed="64"/>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top/>
      <bottom/>
      <diagonal/>
    </border>
  </borders>
  <cellStyleXfs count="2">
    <xf numFmtId="0" fontId="0" fillId="0" borderId="0"/>
    <xf numFmtId="43" fontId="77" fillId="0" borderId="0" applyFont="0" applyFill="0" applyBorder="0" applyAlignment="0" applyProtection="0"/>
  </cellStyleXfs>
  <cellXfs count="1298">
    <xf numFmtId="0" fontId="0" fillId="0" borderId="0" xfId="0"/>
    <xf numFmtId="0" fontId="0" fillId="0" borderId="0" xfId="0" applyAlignment="1">
      <alignment horizontal="center"/>
    </xf>
    <xf numFmtId="0" fontId="0" fillId="0" borderId="1" xfId="0" applyBorder="1" applyAlignment="1">
      <alignment horizontal="center"/>
    </xf>
    <xf numFmtId="0" fontId="1" fillId="0" borderId="0" xfId="0" applyFont="1"/>
    <xf numFmtId="0" fontId="0" fillId="0" borderId="1" xfId="0" applyBorder="1"/>
    <xf numFmtId="1" fontId="6" fillId="0" borderId="4" xfId="0" applyNumberFormat="1" applyFont="1" applyBorder="1" applyAlignment="1">
      <alignment horizontal="center"/>
    </xf>
    <xf numFmtId="164" fontId="6" fillId="0" borderId="4" xfId="0" applyNumberFormat="1" applyFont="1" applyBorder="1" applyAlignment="1">
      <alignment horizontal="center"/>
    </xf>
    <xf numFmtId="0" fontId="8" fillId="0" borderId="0" xfId="0" applyFont="1"/>
    <xf numFmtId="1" fontId="8" fillId="0" borderId="0" xfId="0" applyNumberFormat="1" applyFont="1" applyAlignment="1">
      <alignment horizontal="center"/>
    </xf>
    <xf numFmtId="164" fontId="8" fillId="0" borderId="0" xfId="0" applyNumberFormat="1" applyFont="1" applyAlignment="1">
      <alignment horizontal="center"/>
    </xf>
    <xf numFmtId="165" fontId="8" fillId="0" borderId="0" xfId="0" applyNumberFormat="1" applyFont="1" applyAlignment="1">
      <alignment horizontal="center"/>
    </xf>
    <xf numFmtId="0" fontId="8" fillId="0" borderId="6" xfId="0" applyFont="1" applyBorder="1"/>
    <xf numFmtId="0" fontId="8" fillId="0" borderId="2" xfId="0" applyFont="1" applyBorder="1"/>
    <xf numFmtId="1" fontId="8" fillId="0" borderId="4" xfId="0" applyNumberFormat="1" applyFont="1" applyBorder="1" applyAlignment="1">
      <alignment horizontal="center"/>
    </xf>
    <xf numFmtId="164" fontId="8" fillId="0" borderId="4" xfId="0" applyNumberFormat="1" applyFont="1" applyBorder="1" applyAlignment="1">
      <alignment horizontal="center"/>
    </xf>
    <xf numFmtId="0" fontId="11" fillId="0" borderId="1" xfId="0" applyFont="1" applyBorder="1" applyAlignment="1">
      <alignment horizontal="center"/>
    </xf>
    <xf numFmtId="0" fontId="1" fillId="0" borderId="1" xfId="0" applyFont="1" applyBorder="1" applyAlignment="1">
      <alignment horizontal="center"/>
    </xf>
    <xf numFmtId="0" fontId="1" fillId="0" borderId="6" xfId="0" applyFont="1" applyBorder="1" applyAlignment="1">
      <alignment horizontal="right"/>
    </xf>
    <xf numFmtId="0" fontId="12" fillId="0" borderId="0" xfId="0" applyFont="1"/>
    <xf numFmtId="0" fontId="10" fillId="0" borderId="6" xfId="0" applyFont="1" applyBorder="1" applyAlignment="1">
      <alignment horizontal="right"/>
    </xf>
    <xf numFmtId="0" fontId="2" fillId="0" borderId="6" xfId="0" applyFont="1" applyBorder="1" applyAlignment="1">
      <alignment horizontal="right"/>
    </xf>
    <xf numFmtId="2" fontId="11" fillId="0" borderId="1" xfId="0" applyNumberFormat="1" applyFont="1" applyBorder="1" applyAlignment="1">
      <alignment horizontal="center"/>
    </xf>
    <xf numFmtId="2" fontId="0" fillId="0" borderId="0" xfId="0" applyNumberFormat="1"/>
    <xf numFmtId="10" fontId="0" fillId="0" borderId="0" xfId="0" applyNumberFormat="1" applyAlignment="1">
      <alignment horizontal="left"/>
    </xf>
    <xf numFmtId="1" fontId="8" fillId="0" borderId="3" xfId="0" applyNumberFormat="1" applyFont="1" applyBorder="1" applyAlignment="1">
      <alignment horizontal="center"/>
    </xf>
    <xf numFmtId="1" fontId="8" fillId="0" borderId="0" xfId="0" applyNumberFormat="1" applyFont="1"/>
    <xf numFmtId="1" fontId="8" fillId="0" borderId="6" xfId="0" applyNumberFormat="1" applyFont="1" applyBorder="1" applyAlignment="1">
      <alignment horizontal="center"/>
    </xf>
    <xf numFmtId="1" fontId="8" fillId="0" borderId="6" xfId="0" applyNumberFormat="1" applyFont="1" applyBorder="1"/>
    <xf numFmtId="1" fontId="6" fillId="0" borderId="0" xfId="0" applyNumberFormat="1" applyFont="1" applyAlignment="1">
      <alignment horizontal="center"/>
    </xf>
    <xf numFmtId="164" fontId="7" fillId="0" borderId="0" xfId="0" applyNumberFormat="1" applyFont="1" applyAlignment="1">
      <alignment horizontal="center"/>
    </xf>
    <xf numFmtId="164" fontId="6" fillId="0" borderId="0" xfId="0" applyNumberFormat="1" applyFont="1" applyAlignment="1">
      <alignment horizontal="center"/>
    </xf>
    <xf numFmtId="10" fontId="8" fillId="0" borderId="0" xfId="0" applyNumberFormat="1" applyFont="1" applyAlignment="1">
      <alignment horizontal="center"/>
    </xf>
    <xf numFmtId="1" fontId="18" fillId="0" borderId="0" xfId="0" applyNumberFormat="1" applyFont="1" applyAlignment="1">
      <alignment horizontal="center"/>
    </xf>
    <xf numFmtId="10" fontId="7" fillId="0" borderId="0" xfId="0" applyNumberFormat="1" applyFont="1" applyAlignment="1">
      <alignment horizontal="center"/>
    </xf>
    <xf numFmtId="164" fontId="18" fillId="0" borderId="0" xfId="0" applyNumberFormat="1" applyFont="1" applyAlignment="1">
      <alignment horizontal="center"/>
    </xf>
    <xf numFmtId="166" fontId="7" fillId="0" borderId="0" xfId="0" applyNumberFormat="1" applyFont="1" applyAlignment="1">
      <alignment horizontal="center"/>
    </xf>
    <xf numFmtId="164" fontId="9" fillId="0" borderId="0" xfId="0" applyNumberFormat="1" applyFont="1" applyAlignment="1">
      <alignment horizontal="center"/>
    </xf>
    <xf numFmtId="1" fontId="17" fillId="0" borderId="0" xfId="0" applyNumberFormat="1" applyFont="1" applyAlignment="1">
      <alignment horizontal="center"/>
    </xf>
    <xf numFmtId="164" fontId="17" fillId="0" borderId="0" xfId="0" applyNumberFormat="1" applyFont="1" applyAlignment="1">
      <alignment horizontal="center"/>
    </xf>
    <xf numFmtId="1" fontId="17" fillId="0" borderId="0" xfId="0" applyNumberFormat="1" applyFont="1"/>
    <xf numFmtId="1" fontId="6" fillId="0" borderId="2" xfId="0" applyNumberFormat="1" applyFont="1" applyBorder="1" applyAlignment="1">
      <alignment horizontal="center"/>
    </xf>
    <xf numFmtId="164" fontId="6" fillId="0" borderId="2" xfId="0" applyNumberFormat="1" applyFont="1" applyBorder="1" applyAlignment="1">
      <alignment horizontal="center"/>
    </xf>
    <xf numFmtId="164" fontId="7" fillId="0" borderId="4" xfId="0" applyNumberFormat="1" applyFont="1" applyBorder="1" applyAlignment="1">
      <alignment horizontal="center"/>
    </xf>
    <xf numFmtId="164" fontId="7" fillId="0" borderId="3" xfId="0" applyNumberFormat="1" applyFont="1" applyBorder="1" applyAlignment="1">
      <alignment horizontal="center"/>
    </xf>
    <xf numFmtId="165" fontId="6" fillId="6" borderId="0" xfId="0" applyNumberFormat="1" applyFont="1" applyFill="1" applyAlignment="1">
      <alignment horizontal="center"/>
    </xf>
    <xf numFmtId="165" fontId="8" fillId="6" borderId="0" xfId="0" applyNumberFormat="1" applyFont="1" applyFill="1" applyAlignment="1">
      <alignment horizontal="center"/>
    </xf>
    <xf numFmtId="10" fontId="8" fillId="6" borderId="0" xfId="0" applyNumberFormat="1" applyFont="1" applyFill="1" applyAlignment="1">
      <alignment horizontal="center"/>
    </xf>
    <xf numFmtId="10" fontId="6" fillId="6" borderId="0" xfId="0" applyNumberFormat="1" applyFont="1" applyFill="1" applyAlignment="1">
      <alignment horizontal="center"/>
    </xf>
    <xf numFmtId="1" fontId="6" fillId="6" borderId="0" xfId="0" applyNumberFormat="1" applyFont="1" applyFill="1" applyAlignment="1">
      <alignment horizontal="center"/>
    </xf>
    <xf numFmtId="2" fontId="18" fillId="0" borderId="4" xfId="0" applyNumberFormat="1" applyFont="1" applyBorder="1" applyAlignment="1">
      <alignment horizontal="center"/>
    </xf>
    <xf numFmtId="44" fontId="8" fillId="0" borderId="0" xfId="0" applyNumberFormat="1" applyFont="1" applyAlignment="1">
      <alignment horizontal="center"/>
    </xf>
    <xf numFmtId="44" fontId="6" fillId="0" borderId="4" xfId="0" applyNumberFormat="1" applyFont="1" applyBorder="1" applyAlignment="1">
      <alignment horizontal="center"/>
    </xf>
    <xf numFmtId="1" fontId="18" fillId="0" borderId="4" xfId="0" applyNumberFormat="1" applyFont="1" applyBorder="1" applyAlignment="1">
      <alignment horizontal="center"/>
    </xf>
    <xf numFmtId="164" fontId="18" fillId="0" borderId="4" xfId="0" applyNumberFormat="1" applyFont="1" applyBorder="1" applyAlignment="1">
      <alignment horizontal="center"/>
    </xf>
    <xf numFmtId="0" fontId="6" fillId="0" borderId="5" xfId="0" applyFont="1" applyBorder="1" applyAlignment="1">
      <alignment horizontal="center"/>
    </xf>
    <xf numFmtId="2" fontId="18" fillId="0" borderId="5" xfId="0" applyNumberFormat="1" applyFont="1" applyBorder="1" applyAlignment="1">
      <alignment horizontal="center"/>
    </xf>
    <xf numFmtId="44" fontId="6" fillId="0" borderId="5" xfId="0" applyNumberFormat="1" applyFont="1" applyBorder="1" applyAlignment="1">
      <alignment horizontal="center"/>
    </xf>
    <xf numFmtId="164" fontId="6" fillId="0" borderId="5" xfId="0" applyNumberFormat="1" applyFont="1" applyBorder="1" applyAlignment="1">
      <alignment horizontal="center"/>
    </xf>
    <xf numFmtId="1" fontId="18" fillId="0" borderId="5" xfId="0" applyNumberFormat="1" applyFont="1" applyBorder="1" applyAlignment="1">
      <alignment horizontal="center"/>
    </xf>
    <xf numFmtId="164" fontId="18" fillId="0" borderId="5" xfId="0" applyNumberFormat="1" applyFont="1" applyBorder="1" applyAlignment="1">
      <alignment horizontal="center"/>
    </xf>
    <xf numFmtId="2" fontId="17" fillId="0" borderId="4" xfId="0" applyNumberFormat="1" applyFont="1" applyBorder="1" applyAlignment="1">
      <alignment horizontal="center"/>
    </xf>
    <xf numFmtId="1" fontId="17" fillId="0" borderId="4" xfId="0" applyNumberFormat="1" applyFont="1" applyBorder="1" applyAlignment="1">
      <alignment horizontal="center"/>
    </xf>
    <xf numFmtId="2" fontId="4" fillId="0" borderId="4" xfId="0" applyNumberFormat="1" applyFont="1" applyBorder="1" applyAlignment="1">
      <alignment horizontal="center"/>
    </xf>
    <xf numFmtId="44" fontId="0" fillId="0" borderId="4" xfId="0" applyNumberFormat="1" applyBorder="1" applyAlignment="1">
      <alignment horizontal="center"/>
    </xf>
    <xf numFmtId="1" fontId="4" fillId="0" borderId="4" xfId="0" applyNumberFormat="1" applyFont="1" applyBorder="1" applyAlignment="1">
      <alignment horizontal="center"/>
    </xf>
    <xf numFmtId="164" fontId="0" fillId="0" borderId="4" xfId="0" applyNumberFormat="1" applyBorder="1" applyAlignment="1">
      <alignment horizontal="center"/>
    </xf>
    <xf numFmtId="1" fontId="4" fillId="0" borderId="0" xfId="0" applyNumberFormat="1" applyFont="1" applyAlignment="1">
      <alignment horizontal="center"/>
    </xf>
    <xf numFmtId="2" fontId="4" fillId="0" borderId="0" xfId="0" applyNumberFormat="1" applyFont="1" applyAlignment="1">
      <alignment horizontal="center"/>
    </xf>
    <xf numFmtId="44" fontId="0" fillId="0" borderId="0" xfId="0" applyNumberFormat="1" applyAlignment="1">
      <alignment horizontal="center"/>
    </xf>
    <xf numFmtId="164" fontId="0" fillId="0" borderId="0" xfId="0" applyNumberFormat="1" applyAlignment="1">
      <alignment horizontal="center"/>
    </xf>
    <xf numFmtId="0" fontId="1" fillId="0" borderId="0" xfId="0" applyFont="1" applyAlignment="1">
      <alignment horizontal="center"/>
    </xf>
    <xf numFmtId="0" fontId="9" fillId="0" borderId="0" xfId="0" applyFont="1" applyAlignment="1">
      <alignment horizontal="center"/>
    </xf>
    <xf numFmtId="0" fontId="1" fillId="0" borderId="4" xfId="0" applyFont="1" applyBorder="1" applyAlignment="1">
      <alignment horizontal="center"/>
    </xf>
    <xf numFmtId="164" fontId="17" fillId="0" borderId="4" xfId="0" applyNumberFormat="1" applyFont="1" applyBorder="1" applyAlignment="1">
      <alignment horizontal="center"/>
    </xf>
    <xf numFmtId="0" fontId="6" fillId="0" borderId="0" xfId="0" applyFont="1" applyAlignment="1">
      <alignment horizontal="center"/>
    </xf>
    <xf numFmtId="0" fontId="6" fillId="0" borderId="8" xfId="0" applyFont="1" applyBorder="1" applyAlignment="1">
      <alignment horizontal="center"/>
    </xf>
    <xf numFmtId="165" fontId="7" fillId="6" borderId="0" xfId="0" applyNumberFormat="1" applyFont="1" applyFill="1" applyAlignment="1">
      <alignment horizontal="center"/>
    </xf>
    <xf numFmtId="165" fontId="7" fillId="6" borderId="3" xfId="0" applyNumberFormat="1" applyFont="1" applyFill="1" applyBorder="1" applyAlignment="1">
      <alignment horizontal="center"/>
    </xf>
    <xf numFmtId="165" fontId="8" fillId="6" borderId="3" xfId="0" applyNumberFormat="1" applyFont="1" applyFill="1" applyBorder="1" applyAlignment="1">
      <alignment horizontal="center"/>
    </xf>
    <xf numFmtId="1" fontId="19" fillId="0" borderId="0" xfId="0" applyNumberFormat="1" applyFont="1" applyAlignment="1">
      <alignment horizontal="center"/>
    </xf>
    <xf numFmtId="1" fontId="20" fillId="0" borderId="0" xfId="0" applyNumberFormat="1" applyFont="1" applyAlignment="1">
      <alignment horizontal="center"/>
    </xf>
    <xf numFmtId="1" fontId="6" fillId="0" borderId="4" xfId="0" applyNumberFormat="1" applyFont="1" applyBorder="1" applyAlignment="1">
      <alignment horizontal="left"/>
    </xf>
    <xf numFmtId="165" fontId="6" fillId="6" borderId="1" xfId="0" applyNumberFormat="1" applyFont="1" applyFill="1" applyBorder="1" applyAlignment="1">
      <alignment horizontal="center"/>
    </xf>
    <xf numFmtId="10" fontId="6" fillId="6" borderId="1" xfId="0" applyNumberFormat="1" applyFont="1" applyFill="1" applyBorder="1" applyAlignment="1">
      <alignment horizontal="center"/>
    </xf>
    <xf numFmtId="1" fontId="6" fillId="6" borderId="1" xfId="0" applyNumberFormat="1" applyFont="1" applyFill="1" applyBorder="1" applyAlignment="1">
      <alignment horizontal="center"/>
    </xf>
    <xf numFmtId="1" fontId="6" fillId="0" borderId="9" xfId="0" applyNumberFormat="1" applyFont="1" applyBorder="1" applyAlignment="1">
      <alignment horizontal="left"/>
    </xf>
    <xf numFmtId="1" fontId="6" fillId="0" borderId="3" xfId="0" applyNumberFormat="1" applyFont="1" applyBorder="1" applyAlignment="1">
      <alignment horizontal="left"/>
    </xf>
    <xf numFmtId="0" fontId="21" fillId="0" borderId="0" xfId="0" applyFont="1" applyAlignment="1">
      <alignment horizontal="center"/>
    </xf>
    <xf numFmtId="1" fontId="22" fillId="0" borderId="4" xfId="0" applyNumberFormat="1" applyFont="1" applyBorder="1" applyAlignment="1">
      <alignment horizontal="center"/>
    </xf>
    <xf numFmtId="44" fontId="23" fillId="0" borderId="4" xfId="0" applyNumberFormat="1" applyFont="1" applyBorder="1" applyAlignment="1">
      <alignment horizontal="center"/>
    </xf>
    <xf numFmtId="164" fontId="23" fillId="0" borderId="4" xfId="0" applyNumberFormat="1" applyFont="1" applyBorder="1" applyAlignment="1">
      <alignment horizontal="center"/>
    </xf>
    <xf numFmtId="0" fontId="3" fillId="0" borderId="0" xfId="0" applyFont="1" applyAlignment="1">
      <alignment horizontal="center"/>
    </xf>
    <xf numFmtId="1" fontId="18" fillId="0" borderId="8" xfId="0" applyNumberFormat="1" applyFont="1" applyBorder="1" applyAlignment="1">
      <alignment horizontal="center"/>
    </xf>
    <xf numFmtId="2" fontId="18" fillId="0" borderId="8" xfId="0" applyNumberFormat="1" applyFont="1" applyBorder="1" applyAlignment="1">
      <alignment horizontal="center"/>
    </xf>
    <xf numFmtId="164" fontId="4" fillId="0" borderId="0" xfId="0" applyNumberFormat="1" applyFont="1" applyAlignment="1">
      <alignment horizontal="center"/>
    </xf>
    <xf numFmtId="164" fontId="4" fillId="0" borderId="4" xfId="0" applyNumberFormat="1" applyFont="1" applyBorder="1" applyAlignment="1">
      <alignment horizontal="center"/>
    </xf>
    <xf numFmtId="164" fontId="24" fillId="0" borderId="4" xfId="0" applyNumberFormat="1" applyFont="1" applyBorder="1" applyAlignment="1">
      <alignment horizontal="center"/>
    </xf>
    <xf numFmtId="0" fontId="24" fillId="0" borderId="8" xfId="0" applyFont="1" applyBorder="1" applyAlignment="1">
      <alignment horizontal="center"/>
    </xf>
    <xf numFmtId="0" fontId="24" fillId="0" borderId="5" xfId="0" applyFont="1" applyBorder="1" applyAlignment="1">
      <alignment horizontal="center"/>
    </xf>
    <xf numFmtId="164" fontId="24" fillId="0" borderId="5" xfId="0" applyNumberFormat="1" applyFont="1" applyBorder="1" applyAlignment="1">
      <alignment horizontal="center"/>
    </xf>
    <xf numFmtId="0" fontId="15" fillId="0" borderId="0" xfId="0" applyFont="1" applyAlignment="1">
      <alignment horizontal="center"/>
    </xf>
    <xf numFmtId="0" fontId="9" fillId="0" borderId="9" xfId="0" applyFont="1" applyBorder="1" applyAlignment="1">
      <alignment horizontal="center"/>
    </xf>
    <xf numFmtId="0" fontId="24" fillId="0" borderId="3" xfId="0" applyFont="1" applyBorder="1" applyAlignment="1">
      <alignment horizontal="center"/>
    </xf>
    <xf numFmtId="0" fontId="24" fillId="0" borderId="10" xfId="0" applyFont="1" applyBorder="1" applyAlignment="1">
      <alignment horizontal="center"/>
    </xf>
    <xf numFmtId="164" fontId="24" fillId="0" borderId="8" xfId="0" applyNumberFormat="1" applyFont="1" applyBorder="1" applyAlignment="1">
      <alignment horizontal="center"/>
    </xf>
    <xf numFmtId="164" fontId="22" fillId="0" borderId="0" xfId="0" applyNumberFormat="1" applyFont="1" applyAlignment="1">
      <alignment horizontal="center"/>
    </xf>
    <xf numFmtId="44" fontId="7" fillId="0" borderId="4" xfId="0" applyNumberFormat="1" applyFont="1" applyBorder="1" applyAlignment="1">
      <alignment horizontal="center"/>
    </xf>
    <xf numFmtId="164" fontId="22" fillId="0" borderId="4" xfId="0" applyNumberFormat="1" applyFont="1" applyBorder="1" applyAlignment="1">
      <alignment horizontal="center"/>
    </xf>
    <xf numFmtId="0" fontId="1" fillId="0" borderId="0" xfId="0" applyFont="1" applyAlignment="1">
      <alignment horizontal="left"/>
    </xf>
    <xf numFmtId="0" fontId="1" fillId="0" borderId="12" xfId="0" applyFont="1" applyBorder="1" applyAlignment="1">
      <alignment horizontal="left"/>
    </xf>
    <xf numFmtId="0" fontId="1" fillId="0" borderId="12" xfId="0" applyFont="1" applyBorder="1" applyAlignment="1">
      <alignment horizontal="center"/>
    </xf>
    <xf numFmtId="1" fontId="4" fillId="0" borderId="12" xfId="0" applyNumberFormat="1" applyFont="1" applyBorder="1" applyAlignment="1">
      <alignment horizontal="center"/>
    </xf>
    <xf numFmtId="1" fontId="23" fillId="0" borderId="4" xfId="0" applyNumberFormat="1" applyFont="1" applyBorder="1" applyAlignment="1">
      <alignment horizontal="center"/>
    </xf>
    <xf numFmtId="1" fontId="6" fillId="0" borderId="10" xfId="0" applyNumberFormat="1" applyFont="1" applyBorder="1" applyAlignment="1">
      <alignment horizontal="center"/>
    </xf>
    <xf numFmtId="1" fontId="9" fillId="0" borderId="0" xfId="0" applyNumberFormat="1" applyFont="1" applyAlignment="1">
      <alignment horizontal="center"/>
    </xf>
    <xf numFmtId="164" fontId="7" fillId="0" borderId="2" xfId="0" applyNumberFormat="1" applyFont="1" applyBorder="1" applyAlignment="1">
      <alignment horizontal="center"/>
    </xf>
    <xf numFmtId="164" fontId="18" fillId="0" borderId="2" xfId="0" applyNumberFormat="1" applyFont="1" applyBorder="1" applyAlignment="1">
      <alignment horizontal="center"/>
    </xf>
    <xf numFmtId="1" fontId="8" fillId="0" borderId="2" xfId="0" applyNumberFormat="1" applyFont="1" applyBorder="1" applyAlignment="1">
      <alignment horizontal="center"/>
    </xf>
    <xf numFmtId="1" fontId="18" fillId="0" borderId="2" xfId="0" applyNumberFormat="1" applyFont="1" applyBorder="1" applyAlignment="1">
      <alignment horizontal="center"/>
    </xf>
    <xf numFmtId="166" fontId="7" fillId="0" borderId="2" xfId="0" applyNumberFormat="1" applyFont="1" applyBorder="1" applyAlignment="1">
      <alignment horizontal="center"/>
    </xf>
    <xf numFmtId="1" fontId="19" fillId="0" borderId="2" xfId="0" applyNumberFormat="1" applyFont="1" applyBorder="1" applyAlignment="1">
      <alignment horizontal="center"/>
    </xf>
    <xf numFmtId="1" fontId="20" fillId="0" borderId="2" xfId="0" applyNumberFormat="1" applyFont="1" applyBorder="1" applyAlignment="1">
      <alignment horizontal="center"/>
    </xf>
    <xf numFmtId="10" fontId="7" fillId="0" borderId="2" xfId="0" applyNumberFormat="1" applyFont="1" applyBorder="1" applyAlignment="1">
      <alignment horizontal="center"/>
    </xf>
    <xf numFmtId="1" fontId="22" fillId="0" borderId="5" xfId="0" applyNumberFormat="1" applyFont="1" applyBorder="1" applyAlignment="1">
      <alignment horizontal="center"/>
    </xf>
    <xf numFmtId="164" fontId="22" fillId="0" borderId="5" xfId="0" applyNumberFormat="1" applyFont="1" applyBorder="1" applyAlignment="1">
      <alignment horizontal="center"/>
    </xf>
    <xf numFmtId="1" fontId="6" fillId="0" borderId="8" xfId="0" applyNumberFormat="1" applyFont="1" applyBorder="1" applyAlignment="1">
      <alignment horizontal="center"/>
    </xf>
    <xf numFmtId="164" fontId="24" fillId="0" borderId="0" xfId="0" applyNumberFormat="1" applyFont="1" applyAlignment="1">
      <alignment horizontal="center"/>
    </xf>
    <xf numFmtId="0" fontId="15" fillId="0" borderId="14" xfId="0" applyFont="1" applyBorder="1" applyAlignment="1">
      <alignment horizontal="center"/>
    </xf>
    <xf numFmtId="1" fontId="28" fillId="0" borderId="0" xfId="0" applyNumberFormat="1" applyFont="1" applyAlignment="1">
      <alignment horizontal="center"/>
    </xf>
    <xf numFmtId="1" fontId="29" fillId="0" borderId="0" xfId="0" applyNumberFormat="1" applyFont="1" applyAlignment="1">
      <alignment horizontal="center"/>
    </xf>
    <xf numFmtId="1" fontId="30" fillId="0" borderId="4" xfId="0" applyNumberFormat="1" applyFont="1" applyBorder="1" applyAlignment="1">
      <alignment horizontal="center"/>
    </xf>
    <xf numFmtId="1" fontId="30" fillId="0" borderId="5" xfId="0" applyNumberFormat="1" applyFont="1" applyBorder="1" applyAlignment="1">
      <alignment horizontal="center"/>
    </xf>
    <xf numFmtId="1" fontId="29" fillId="0" borderId="4" xfId="0" applyNumberFormat="1" applyFont="1" applyBorder="1" applyAlignment="1">
      <alignment horizontal="center"/>
    </xf>
    <xf numFmtId="1" fontId="28" fillId="0" borderId="4" xfId="0" applyNumberFormat="1" applyFont="1" applyBorder="1" applyAlignment="1">
      <alignment horizontal="center"/>
    </xf>
    <xf numFmtId="1" fontId="22" fillId="0" borderId="8" xfId="0" applyNumberFormat="1" applyFont="1" applyBorder="1" applyAlignment="1">
      <alignment horizontal="center"/>
    </xf>
    <xf numFmtId="1" fontId="6" fillId="0" borderId="5" xfId="0" applyNumberFormat="1" applyFont="1" applyBorder="1" applyAlignment="1">
      <alignment horizontal="center"/>
    </xf>
    <xf numFmtId="1" fontId="7" fillId="0" borderId="4" xfId="0" applyNumberFormat="1" applyFont="1" applyBorder="1" applyAlignment="1">
      <alignment horizontal="center"/>
    </xf>
    <xf numFmtId="1" fontId="6" fillId="0" borderId="1" xfId="0" applyNumberFormat="1" applyFont="1" applyBorder="1" applyAlignment="1">
      <alignment horizontal="center"/>
    </xf>
    <xf numFmtId="164" fontId="8" fillId="0" borderId="2" xfId="0" applyNumberFormat="1" applyFont="1" applyBorder="1" applyAlignment="1">
      <alignment horizontal="center"/>
    </xf>
    <xf numFmtId="165" fontId="7" fillId="6" borderId="2" xfId="0" applyNumberFormat="1" applyFont="1" applyFill="1" applyBorder="1" applyAlignment="1">
      <alignment horizontal="center"/>
    </xf>
    <xf numFmtId="165" fontId="8" fillId="6" borderId="2" xfId="0" applyNumberFormat="1" applyFont="1" applyFill="1" applyBorder="1" applyAlignment="1">
      <alignment horizontal="center"/>
    </xf>
    <xf numFmtId="10" fontId="8" fillId="0" borderId="2" xfId="0" applyNumberFormat="1" applyFont="1" applyBorder="1" applyAlignment="1">
      <alignment horizontal="center"/>
    </xf>
    <xf numFmtId="10" fontId="8" fillId="6" borderId="2" xfId="0" applyNumberFormat="1" applyFont="1" applyFill="1" applyBorder="1" applyAlignment="1">
      <alignment horizontal="center"/>
    </xf>
    <xf numFmtId="1" fontId="7" fillId="0" borderId="0" xfId="0" applyNumberFormat="1" applyFont="1" applyAlignment="1">
      <alignment horizontal="center"/>
    </xf>
    <xf numFmtId="0" fontId="32" fillId="0" borderId="0" xfId="0" applyFont="1"/>
    <xf numFmtId="1" fontId="32" fillId="0" borderId="0" xfId="0" applyNumberFormat="1" applyFont="1" applyAlignment="1">
      <alignment horizontal="center"/>
    </xf>
    <xf numFmtId="164" fontId="33" fillId="0" borderId="0" xfId="0" applyNumberFormat="1" applyFont="1" applyAlignment="1">
      <alignment horizontal="center"/>
    </xf>
    <xf numFmtId="164" fontId="32" fillId="0" borderId="0" xfId="0" applyNumberFormat="1" applyFont="1" applyAlignment="1">
      <alignment horizontal="center"/>
    </xf>
    <xf numFmtId="164" fontId="33" fillId="0" borderId="6" xfId="0" applyNumberFormat="1" applyFont="1" applyBorder="1" applyAlignment="1">
      <alignment horizontal="center"/>
    </xf>
    <xf numFmtId="0" fontId="34" fillId="0" borderId="0" xfId="0" applyFont="1"/>
    <xf numFmtId="0" fontId="34" fillId="0" borderId="12" xfId="0" applyFont="1" applyBorder="1"/>
    <xf numFmtId="1" fontId="32" fillId="0" borderId="1" xfId="0" applyNumberFormat="1" applyFont="1" applyBorder="1" applyAlignment="1">
      <alignment horizontal="center"/>
    </xf>
    <xf numFmtId="1" fontId="33" fillId="0" borderId="1" xfId="0" applyNumberFormat="1" applyFont="1" applyBorder="1" applyAlignment="1">
      <alignment horizontal="center"/>
    </xf>
    <xf numFmtId="164" fontId="33" fillId="0" borderId="1" xfId="0" applyNumberFormat="1" applyFont="1" applyBorder="1" applyAlignment="1">
      <alignment horizontal="center"/>
    </xf>
    <xf numFmtId="164" fontId="32" fillId="0" borderId="1" xfId="0" applyNumberFormat="1" applyFont="1" applyBorder="1" applyAlignment="1">
      <alignment horizontal="center"/>
    </xf>
    <xf numFmtId="166" fontId="32" fillId="0" borderId="1" xfId="0" applyNumberFormat="1" applyFont="1" applyBorder="1" applyAlignment="1">
      <alignment horizontal="center"/>
    </xf>
    <xf numFmtId="10" fontId="32" fillId="0" borderId="1" xfId="0" applyNumberFormat="1" applyFont="1" applyBorder="1" applyAlignment="1">
      <alignment horizontal="center"/>
    </xf>
    <xf numFmtId="164" fontId="33" fillId="0" borderId="11" xfId="0" applyNumberFormat="1" applyFont="1" applyBorder="1" applyAlignment="1">
      <alignment horizontal="center"/>
    </xf>
    <xf numFmtId="1" fontId="7" fillId="0" borderId="2" xfId="0" applyNumberFormat="1" applyFont="1" applyBorder="1" applyAlignment="1">
      <alignment horizontal="center"/>
    </xf>
    <xf numFmtId="164" fontId="31" fillId="0" borderId="2" xfId="0" applyNumberFormat="1" applyFont="1" applyBorder="1" applyAlignment="1">
      <alignment horizontal="center"/>
    </xf>
    <xf numFmtId="164" fontId="8" fillId="0" borderId="1" xfId="0" applyNumberFormat="1" applyFont="1" applyBorder="1" applyAlignment="1">
      <alignment horizontal="center"/>
    </xf>
    <xf numFmtId="164" fontId="36" fillId="0" borderId="0" xfId="0" applyNumberFormat="1" applyFont="1" applyAlignment="1">
      <alignment horizontal="center"/>
    </xf>
    <xf numFmtId="164" fontId="6" fillId="0" borderId="1" xfId="0" applyNumberFormat="1" applyFont="1" applyBorder="1" applyAlignment="1">
      <alignment horizontal="center"/>
    </xf>
    <xf numFmtId="164" fontId="19" fillId="0" borderId="1" xfId="0" applyNumberFormat="1" applyFont="1" applyBorder="1" applyAlignment="1">
      <alignment horizontal="center"/>
    </xf>
    <xf numFmtId="164" fontId="19" fillId="0" borderId="0" xfId="0" applyNumberFormat="1" applyFont="1" applyAlignment="1">
      <alignment horizontal="center"/>
    </xf>
    <xf numFmtId="164" fontId="19" fillId="0" borderId="2" xfId="0" applyNumberFormat="1" applyFont="1" applyBorder="1" applyAlignment="1">
      <alignment horizontal="center"/>
    </xf>
    <xf numFmtId="164" fontId="19" fillId="0" borderId="6" xfId="0" applyNumberFormat="1" applyFont="1" applyBorder="1" applyAlignment="1">
      <alignment horizontal="center"/>
    </xf>
    <xf numFmtId="164" fontId="18" fillId="0" borderId="1" xfId="0" applyNumberFormat="1" applyFont="1" applyBorder="1" applyAlignment="1">
      <alignment horizontal="center"/>
    </xf>
    <xf numFmtId="164" fontId="7" fillId="0" borderId="1" xfId="0" applyNumberFormat="1" applyFont="1" applyBorder="1" applyAlignment="1">
      <alignment horizontal="center"/>
    </xf>
    <xf numFmtId="1" fontId="18" fillId="0" borderId="1" xfId="0" applyNumberFormat="1" applyFont="1" applyBorder="1" applyAlignment="1">
      <alignment horizontal="center"/>
    </xf>
    <xf numFmtId="1" fontId="19" fillId="0" borderId="1" xfId="0" applyNumberFormat="1" applyFont="1" applyBorder="1" applyAlignment="1">
      <alignment horizontal="center"/>
    </xf>
    <xf numFmtId="1" fontId="20" fillId="0" borderId="1" xfId="0" applyNumberFormat="1" applyFont="1" applyBorder="1" applyAlignment="1">
      <alignment horizontal="center"/>
    </xf>
    <xf numFmtId="1" fontId="39" fillId="0" borderId="4" xfId="0" applyNumberFormat="1" applyFont="1" applyBorder="1" applyAlignment="1">
      <alignment horizontal="center"/>
    </xf>
    <xf numFmtId="164" fontId="6" fillId="0" borderId="6" xfId="0" applyNumberFormat="1" applyFont="1" applyBorder="1" applyAlignment="1">
      <alignment horizontal="center"/>
    </xf>
    <xf numFmtId="0" fontId="23" fillId="0" borderId="0" xfId="0" applyFont="1"/>
    <xf numFmtId="0" fontId="21" fillId="0" borderId="0" xfId="0" applyFont="1"/>
    <xf numFmtId="165" fontId="32" fillId="6" borderId="1" xfId="0" applyNumberFormat="1" applyFont="1" applyFill="1" applyBorder="1" applyAlignment="1">
      <alignment horizontal="center"/>
    </xf>
    <xf numFmtId="10" fontId="32" fillId="6" borderId="1" xfId="0" applyNumberFormat="1" applyFont="1" applyFill="1" applyBorder="1" applyAlignment="1">
      <alignment horizontal="center"/>
    </xf>
    <xf numFmtId="164" fontId="41" fillId="0" borderId="1" xfId="0" applyNumberFormat="1" applyFont="1" applyBorder="1" applyAlignment="1">
      <alignment horizontal="center"/>
    </xf>
    <xf numFmtId="165" fontId="32" fillId="6" borderId="2" xfId="0" applyNumberFormat="1" applyFont="1" applyFill="1" applyBorder="1" applyAlignment="1">
      <alignment horizontal="center"/>
    </xf>
    <xf numFmtId="0" fontId="8" fillId="0" borderId="0" xfId="0" applyFont="1" applyAlignment="1">
      <alignment horizontal="center"/>
    </xf>
    <xf numFmtId="164" fontId="18" fillId="0" borderId="11" xfId="0" applyNumberFormat="1" applyFont="1" applyBorder="1" applyAlignment="1">
      <alignment horizontal="center"/>
    </xf>
    <xf numFmtId="0" fontId="35" fillId="0" borderId="0" xfId="0" applyFont="1" applyAlignment="1">
      <alignment horizontal="center"/>
    </xf>
    <xf numFmtId="164" fontId="22" fillId="0" borderId="6" xfId="0" applyNumberFormat="1" applyFont="1" applyBorder="1" applyAlignment="1">
      <alignment horizontal="center"/>
    </xf>
    <xf numFmtId="164" fontId="6" fillId="0" borderId="7" xfId="0" applyNumberFormat="1" applyFont="1" applyBorder="1" applyAlignment="1">
      <alignment horizontal="center"/>
    </xf>
    <xf numFmtId="164" fontId="22" fillId="0" borderId="7" xfId="0" applyNumberFormat="1" applyFont="1" applyBorder="1" applyAlignment="1">
      <alignment horizontal="center"/>
    </xf>
    <xf numFmtId="164" fontId="23" fillId="0" borderId="2" xfId="0" applyNumberFormat="1" applyFont="1" applyBorder="1" applyAlignment="1">
      <alignment horizontal="center"/>
    </xf>
    <xf numFmtId="0" fontId="44" fillId="0" borderId="0" xfId="0" applyFont="1" applyAlignment="1">
      <alignment horizontal="center"/>
    </xf>
    <xf numFmtId="164" fontId="7" fillId="6" borderId="0" xfId="0" applyNumberFormat="1" applyFont="1" applyFill="1" applyAlignment="1">
      <alignment horizontal="center"/>
    </xf>
    <xf numFmtId="164" fontId="39" fillId="0" borderId="0" xfId="0" applyNumberFormat="1" applyFont="1" applyAlignment="1">
      <alignment horizontal="center"/>
    </xf>
    <xf numFmtId="1" fontId="36" fillId="0" borderId="0" xfId="0" applyNumberFormat="1" applyFont="1" applyAlignment="1">
      <alignment horizontal="center"/>
    </xf>
    <xf numFmtId="1" fontId="39" fillId="0" borderId="0" xfId="0" applyNumberFormat="1" applyFont="1" applyAlignment="1">
      <alignment horizontal="center"/>
    </xf>
    <xf numFmtId="165" fontId="39" fillId="6" borderId="0" xfId="0" applyNumberFormat="1" applyFont="1" applyFill="1" applyAlignment="1">
      <alignment horizontal="center"/>
    </xf>
    <xf numFmtId="10" fontId="36" fillId="0" borderId="0" xfId="0" applyNumberFormat="1" applyFont="1" applyAlignment="1">
      <alignment horizontal="center"/>
    </xf>
    <xf numFmtId="164" fontId="36" fillId="6" borderId="0" xfId="0" applyNumberFormat="1" applyFont="1" applyFill="1" applyAlignment="1">
      <alignment horizontal="center"/>
    </xf>
    <xf numFmtId="0" fontId="36" fillId="0" borderId="0" xfId="0" applyFont="1"/>
    <xf numFmtId="165" fontId="36" fillId="6" borderId="0" xfId="0" applyNumberFormat="1" applyFont="1" applyFill="1" applyAlignment="1">
      <alignment horizontal="center"/>
    </xf>
    <xf numFmtId="165" fontId="36" fillId="0" borderId="0" xfId="0" applyNumberFormat="1" applyFont="1" applyAlignment="1">
      <alignment horizontal="center"/>
    </xf>
    <xf numFmtId="10" fontId="36" fillId="6" borderId="0" xfId="0" applyNumberFormat="1" applyFont="1" applyFill="1" applyAlignment="1">
      <alignment horizontal="center"/>
    </xf>
    <xf numFmtId="1" fontId="36" fillId="0" borderId="1" xfId="0" applyNumberFormat="1" applyFont="1" applyBorder="1" applyAlignment="1">
      <alignment horizontal="center"/>
    </xf>
    <xf numFmtId="164" fontId="36" fillId="0" borderId="1" xfId="0" applyNumberFormat="1" applyFont="1" applyBorder="1" applyAlignment="1">
      <alignment horizontal="center"/>
    </xf>
    <xf numFmtId="164" fontId="39" fillId="0" borderId="1" xfId="0" applyNumberFormat="1" applyFont="1" applyBorder="1" applyAlignment="1">
      <alignment horizontal="center"/>
    </xf>
    <xf numFmtId="1" fontId="39" fillId="0" borderId="1" xfId="0" applyNumberFormat="1" applyFont="1" applyBorder="1" applyAlignment="1">
      <alignment horizontal="center"/>
    </xf>
    <xf numFmtId="164" fontId="39" fillId="0" borderId="11" xfId="0" applyNumberFormat="1" applyFont="1" applyBorder="1" applyAlignment="1">
      <alignment horizontal="center"/>
    </xf>
    <xf numFmtId="164" fontId="17" fillId="0" borderId="2" xfId="0" applyNumberFormat="1" applyFont="1" applyBorder="1" applyAlignment="1">
      <alignment horizontal="center"/>
    </xf>
    <xf numFmtId="1" fontId="36" fillId="0" borderId="4" xfId="0" applyNumberFormat="1" applyFont="1" applyBorder="1" applyAlignment="1">
      <alignment horizontal="center"/>
    </xf>
    <xf numFmtId="164" fontId="6" fillId="0" borderId="3" xfId="0" applyNumberFormat="1" applyFont="1" applyBorder="1" applyAlignment="1">
      <alignment horizontal="center"/>
    </xf>
    <xf numFmtId="1" fontId="6" fillId="0" borderId="10" xfId="0" applyNumberFormat="1" applyFont="1" applyBorder="1" applyAlignment="1">
      <alignment horizontal="left"/>
    </xf>
    <xf numFmtId="1" fontId="17" fillId="0" borderId="1" xfId="0" applyNumberFormat="1" applyFont="1" applyBorder="1" applyAlignment="1">
      <alignment horizontal="center"/>
    </xf>
    <xf numFmtId="1" fontId="8" fillId="0" borderId="1" xfId="0" applyNumberFormat="1" applyFont="1" applyBorder="1" applyAlignment="1">
      <alignment horizontal="center"/>
    </xf>
    <xf numFmtId="0" fontId="8" fillId="0" borderId="1" xfId="0" applyFont="1" applyBorder="1"/>
    <xf numFmtId="165" fontId="7" fillId="6" borderId="1" xfId="0" applyNumberFormat="1" applyFont="1" applyFill="1" applyBorder="1" applyAlignment="1">
      <alignment horizontal="center"/>
    </xf>
    <xf numFmtId="166" fontId="8" fillId="0" borderId="1" xfId="0" applyNumberFormat="1" applyFont="1" applyBorder="1" applyAlignment="1">
      <alignment horizontal="center"/>
    </xf>
    <xf numFmtId="165" fontId="8" fillId="6" borderId="1" xfId="0" applyNumberFormat="1" applyFont="1" applyFill="1" applyBorder="1" applyAlignment="1">
      <alignment horizontal="center"/>
    </xf>
    <xf numFmtId="10" fontId="8" fillId="0" borderId="1" xfId="0" applyNumberFormat="1" applyFont="1" applyBorder="1" applyAlignment="1">
      <alignment horizontal="center"/>
    </xf>
    <xf numFmtId="1" fontId="17" fillId="0" borderId="1" xfId="0" applyNumberFormat="1" applyFont="1" applyBorder="1"/>
    <xf numFmtId="165" fontId="8" fillId="0" borderId="1" xfId="0" applyNumberFormat="1" applyFont="1" applyBorder="1" applyAlignment="1">
      <alignment horizontal="center"/>
    </xf>
    <xf numFmtId="10" fontId="8" fillId="6" borderId="1" xfId="0" applyNumberFormat="1" applyFont="1" applyFill="1" applyBorder="1" applyAlignment="1">
      <alignment horizontal="center"/>
    </xf>
    <xf numFmtId="164" fontId="17" fillId="0" borderId="1" xfId="0" applyNumberFormat="1" applyFont="1" applyBorder="1" applyAlignment="1">
      <alignment horizontal="center"/>
    </xf>
    <xf numFmtId="164" fontId="40" fillId="0" borderId="0" xfId="0" applyNumberFormat="1" applyFont="1" applyAlignment="1">
      <alignment horizontal="center"/>
    </xf>
    <xf numFmtId="164" fontId="35" fillId="0" borderId="0" xfId="0" applyNumberFormat="1" applyFont="1" applyAlignment="1">
      <alignment horizontal="center"/>
    </xf>
    <xf numFmtId="167" fontId="4" fillId="0" borderId="0" xfId="0" applyNumberFormat="1" applyFont="1" applyAlignment="1">
      <alignment horizontal="center"/>
    </xf>
    <xf numFmtId="167" fontId="0" fillId="0" borderId="2" xfId="0" applyNumberFormat="1" applyBorder="1" applyAlignment="1">
      <alignment horizontal="center"/>
    </xf>
    <xf numFmtId="167" fontId="24" fillId="0" borderId="2" xfId="0" applyNumberFormat="1" applyFont="1" applyBorder="1" applyAlignment="1">
      <alignment horizontal="center"/>
    </xf>
    <xf numFmtId="167" fontId="24" fillId="0" borderId="7" xfId="0" applyNumberFormat="1" applyFont="1" applyBorder="1" applyAlignment="1">
      <alignment horizontal="center"/>
    </xf>
    <xf numFmtId="167" fontId="24" fillId="0" borderId="0" xfId="0" applyNumberFormat="1" applyFont="1" applyAlignment="1">
      <alignment horizontal="center"/>
    </xf>
    <xf numFmtId="167" fontId="15" fillId="0" borderId="0" xfId="0" applyNumberFormat="1" applyFont="1" applyAlignment="1">
      <alignment horizontal="center"/>
    </xf>
    <xf numFmtId="167" fontId="15" fillId="0" borderId="6" xfId="0" applyNumberFormat="1" applyFont="1" applyBorder="1" applyAlignment="1">
      <alignment horizontal="center"/>
    </xf>
    <xf numFmtId="167" fontId="24" fillId="0" borderId="1" xfId="0" applyNumberFormat="1" applyFont="1" applyBorder="1" applyAlignment="1">
      <alignment horizontal="center"/>
    </xf>
    <xf numFmtId="167" fontId="24" fillId="0" borderId="5" xfId="0" applyNumberFormat="1" applyFont="1" applyBorder="1" applyAlignment="1">
      <alignment horizontal="center"/>
    </xf>
    <xf numFmtId="167" fontId="24" fillId="0" borderId="8" xfId="0" applyNumberFormat="1" applyFont="1" applyBorder="1" applyAlignment="1">
      <alignment horizontal="center"/>
    </xf>
    <xf numFmtId="167" fontId="22" fillId="0" borderId="4" xfId="0" applyNumberFormat="1" applyFont="1" applyBorder="1" applyAlignment="1">
      <alignment horizontal="center"/>
    </xf>
    <xf numFmtId="167" fontId="22" fillId="0" borderId="8" xfId="0" applyNumberFormat="1" applyFont="1" applyBorder="1" applyAlignment="1">
      <alignment horizontal="center"/>
    </xf>
    <xf numFmtId="167" fontId="6" fillId="0" borderId="8" xfId="0" applyNumberFormat="1" applyFont="1" applyBorder="1" applyAlignment="1">
      <alignment horizontal="center"/>
    </xf>
    <xf numFmtId="167" fontId="4" fillId="0" borderId="4" xfId="0" applyNumberFormat="1" applyFont="1" applyBorder="1" applyAlignment="1">
      <alignment horizontal="center"/>
    </xf>
    <xf numFmtId="2" fontId="7" fillId="0" borderId="4" xfId="0" applyNumberFormat="1" applyFont="1" applyBorder="1" applyAlignment="1">
      <alignment horizontal="center"/>
    </xf>
    <xf numFmtId="164" fontId="8" fillId="0" borderId="3" xfId="0" applyNumberFormat="1" applyFont="1" applyBorder="1" applyAlignment="1">
      <alignment horizontal="center"/>
    </xf>
    <xf numFmtId="165" fontId="39" fillId="6" borderId="1" xfId="0" applyNumberFormat="1" applyFont="1" applyFill="1" applyBorder="1" applyAlignment="1">
      <alignment horizontal="center"/>
    </xf>
    <xf numFmtId="10" fontId="39" fillId="6" borderId="1" xfId="0" applyNumberFormat="1" applyFont="1" applyFill="1" applyBorder="1" applyAlignment="1">
      <alignment horizontal="center"/>
    </xf>
    <xf numFmtId="10" fontId="39" fillId="0" borderId="1" xfId="0" applyNumberFormat="1" applyFont="1" applyBorder="1" applyAlignment="1">
      <alignment horizontal="center"/>
    </xf>
    <xf numFmtId="164" fontId="36" fillId="6" borderId="1" xfId="0" applyNumberFormat="1" applyFont="1" applyFill="1" applyBorder="1" applyAlignment="1">
      <alignment horizontal="center"/>
    </xf>
    <xf numFmtId="0" fontId="45" fillId="0" borderId="0" xfId="0" applyFont="1" applyAlignment="1">
      <alignment horizontal="left"/>
    </xf>
    <xf numFmtId="1" fontId="33" fillId="0" borderId="4" xfId="0" applyNumberFormat="1" applyFont="1" applyBorder="1" applyAlignment="1">
      <alignment horizontal="center"/>
    </xf>
    <xf numFmtId="1" fontId="32" fillId="0" borderId="4" xfId="0" applyNumberFormat="1" applyFont="1" applyBorder="1" applyAlignment="1">
      <alignment horizontal="center"/>
    </xf>
    <xf numFmtId="44" fontId="32" fillId="0" borderId="4" xfId="0" applyNumberFormat="1" applyFont="1" applyBorder="1" applyAlignment="1">
      <alignment horizontal="center"/>
    </xf>
    <xf numFmtId="164" fontId="32" fillId="0" borderId="4" xfId="0" applyNumberFormat="1" applyFont="1" applyBorder="1" applyAlignment="1">
      <alignment horizontal="center"/>
    </xf>
    <xf numFmtId="0" fontId="34" fillId="0" borderId="0" xfId="0" applyFont="1" applyAlignment="1">
      <alignment horizontal="center"/>
    </xf>
    <xf numFmtId="164" fontId="22" fillId="0" borderId="10" xfId="0" applyNumberFormat="1" applyFont="1" applyBorder="1" applyAlignment="1">
      <alignment horizontal="center"/>
    </xf>
    <xf numFmtId="1" fontId="33" fillId="0" borderId="5" xfId="0" applyNumberFormat="1" applyFont="1" applyBorder="1" applyAlignment="1">
      <alignment horizontal="center"/>
    </xf>
    <xf numFmtId="167" fontId="33" fillId="0" borderId="5" xfId="0" applyNumberFormat="1" applyFont="1" applyBorder="1" applyAlignment="1">
      <alignment horizontal="center"/>
    </xf>
    <xf numFmtId="164" fontId="33" fillId="0" borderId="5" xfId="0" applyNumberFormat="1" applyFont="1" applyBorder="1" applyAlignment="1">
      <alignment horizontal="center"/>
    </xf>
    <xf numFmtId="0" fontId="48" fillId="0" borderId="1" xfId="0" applyFont="1" applyBorder="1" applyAlignment="1">
      <alignment horizontal="center"/>
    </xf>
    <xf numFmtId="167" fontId="33" fillId="0" borderId="4" xfId="0" applyNumberFormat="1" applyFont="1" applyBorder="1" applyAlignment="1">
      <alignment horizontal="center"/>
    </xf>
    <xf numFmtId="164" fontId="33" fillId="0" borderId="3" xfId="0" applyNumberFormat="1" applyFont="1" applyBorder="1" applyAlignment="1">
      <alignment horizontal="center"/>
    </xf>
    <xf numFmtId="164" fontId="33" fillId="0" borderId="4" xfId="0" applyNumberFormat="1" applyFont="1" applyBorder="1" applyAlignment="1">
      <alignment horizontal="center"/>
    </xf>
    <xf numFmtId="164" fontId="6" fillId="0" borderId="8" xfId="0" applyNumberFormat="1" applyFont="1" applyBorder="1" applyAlignment="1">
      <alignment horizontal="center"/>
    </xf>
    <xf numFmtId="0" fontId="44" fillId="0" borderId="2" xfId="0" applyFont="1" applyBorder="1" applyAlignment="1">
      <alignment horizontal="center"/>
    </xf>
    <xf numFmtId="164" fontId="49" fillId="0" borderId="0" xfId="0" applyNumberFormat="1" applyFont="1" applyAlignment="1">
      <alignment horizontal="center"/>
    </xf>
    <xf numFmtId="167" fontId="6" fillId="0" borderId="4" xfId="0" applyNumberFormat="1" applyFont="1" applyBorder="1" applyAlignment="1">
      <alignment horizontal="center"/>
    </xf>
    <xf numFmtId="2" fontId="36" fillId="0" borderId="4" xfId="0" applyNumberFormat="1" applyFont="1" applyBorder="1" applyAlignment="1">
      <alignment horizontal="center"/>
    </xf>
    <xf numFmtId="44" fontId="36" fillId="0" borderId="4" xfId="0" applyNumberFormat="1" applyFont="1" applyBorder="1" applyAlignment="1">
      <alignment horizontal="center"/>
    </xf>
    <xf numFmtId="164" fontId="36" fillId="0" borderId="4" xfId="0" applyNumberFormat="1" applyFont="1" applyBorder="1" applyAlignment="1">
      <alignment horizontal="center"/>
    </xf>
    <xf numFmtId="0" fontId="51" fillId="0" borderId="0" xfId="0" applyFont="1" applyAlignment="1">
      <alignment horizontal="center"/>
    </xf>
    <xf numFmtId="49" fontId="6" fillId="0" borderId="0" xfId="0" applyNumberFormat="1" applyFont="1" applyAlignment="1">
      <alignment horizontal="center"/>
    </xf>
    <xf numFmtId="49" fontId="6" fillId="0" borderId="2" xfId="0" applyNumberFormat="1" applyFont="1" applyBorder="1" applyAlignment="1">
      <alignment horizontal="center"/>
    </xf>
    <xf numFmtId="49" fontId="6" fillId="0" borderId="1" xfId="0" applyNumberFormat="1" applyFont="1" applyBorder="1" applyAlignment="1">
      <alignment horizontal="center"/>
    </xf>
    <xf numFmtId="49" fontId="39" fillId="0" borderId="0" xfId="0" applyNumberFormat="1" applyFont="1" applyAlignment="1">
      <alignment horizontal="center"/>
    </xf>
    <xf numFmtId="49" fontId="39" fillId="0" borderId="1" xfId="0" applyNumberFormat="1" applyFont="1" applyBorder="1" applyAlignment="1">
      <alignment horizontal="center"/>
    </xf>
    <xf numFmtId="49" fontId="34" fillId="0" borderId="0" xfId="0" applyNumberFormat="1" applyFont="1"/>
    <xf numFmtId="49" fontId="6" fillId="0" borderId="6" xfId="0" applyNumberFormat="1" applyFont="1" applyBorder="1" applyAlignment="1">
      <alignment horizontal="center"/>
    </xf>
    <xf numFmtId="0" fontId="2" fillId="8" borderId="0" xfId="0" applyFont="1" applyFill="1" applyAlignment="1">
      <alignment horizontal="center"/>
    </xf>
    <xf numFmtId="0" fontId="3" fillId="8" borderId="0" xfId="0" applyFont="1" applyFill="1" applyAlignment="1">
      <alignment horizontal="center"/>
    </xf>
    <xf numFmtId="2" fontId="3" fillId="0" borderId="0" xfId="0" applyNumberFormat="1" applyFont="1" applyAlignment="1">
      <alignment horizontal="center"/>
    </xf>
    <xf numFmtId="2" fontId="3" fillId="8" borderId="0" xfId="0" applyNumberFormat="1" applyFont="1" applyFill="1" applyAlignment="1">
      <alignment horizontal="center"/>
    </xf>
    <xf numFmtId="166" fontId="7" fillId="0" borderId="1" xfId="0" applyNumberFormat="1" applyFont="1" applyBorder="1" applyAlignment="1">
      <alignment horizontal="center"/>
    </xf>
    <xf numFmtId="0" fontId="3" fillId="8" borderId="0" xfId="0" applyFont="1" applyFill="1" applyAlignment="1">
      <alignment horizontal="center" wrapText="1"/>
    </xf>
    <xf numFmtId="0" fontId="2" fillId="0" borderId="0" xfId="0" applyFont="1" applyAlignment="1">
      <alignment horizontal="center"/>
    </xf>
    <xf numFmtId="0" fontId="47" fillId="0" borderId="0" xfId="0" applyFont="1" applyAlignment="1">
      <alignment horizontal="left"/>
    </xf>
    <xf numFmtId="165" fontId="23" fillId="6" borderId="0" xfId="0" applyNumberFormat="1" applyFont="1" applyFill="1" applyAlignment="1">
      <alignment horizontal="center"/>
    </xf>
    <xf numFmtId="1" fontId="29" fillId="0" borderId="16" xfId="0" applyNumberFormat="1" applyFont="1" applyBorder="1" applyAlignment="1">
      <alignment horizontal="center"/>
    </xf>
    <xf numFmtId="164" fontId="19" fillId="7" borderId="19" xfId="0" applyNumberFormat="1" applyFont="1" applyFill="1" applyBorder="1" applyAlignment="1">
      <alignment horizontal="center"/>
    </xf>
    <xf numFmtId="49" fontId="22" fillId="0" borderId="0" xfId="0" applyNumberFormat="1" applyFont="1" applyAlignment="1">
      <alignment horizontal="center"/>
    </xf>
    <xf numFmtId="1" fontId="23" fillId="0" borderId="0" xfId="0" applyNumberFormat="1" applyFont="1" applyAlignment="1">
      <alignment horizontal="center"/>
    </xf>
    <xf numFmtId="1" fontId="22" fillId="0" borderId="0" xfId="0" applyNumberFormat="1" applyFont="1" applyAlignment="1">
      <alignment horizontal="center"/>
    </xf>
    <xf numFmtId="164" fontId="23" fillId="0" borderId="0" xfId="0" applyNumberFormat="1" applyFont="1" applyAlignment="1">
      <alignment horizontal="center"/>
    </xf>
    <xf numFmtId="164" fontId="23" fillId="0" borderId="1" xfId="0" applyNumberFormat="1" applyFont="1" applyBorder="1" applyAlignment="1">
      <alignment horizontal="center"/>
    </xf>
    <xf numFmtId="10" fontId="23" fillId="0" borderId="0" xfId="0" applyNumberFormat="1" applyFont="1" applyAlignment="1">
      <alignment horizontal="center"/>
    </xf>
    <xf numFmtId="10" fontId="23" fillId="6" borderId="0" xfId="0" applyNumberFormat="1" applyFont="1" applyFill="1" applyAlignment="1">
      <alignment horizontal="center"/>
    </xf>
    <xf numFmtId="164" fontId="22" fillId="0" borderId="11" xfId="0" applyNumberFormat="1" applyFont="1" applyBorder="1" applyAlignment="1">
      <alignment horizontal="center"/>
    </xf>
    <xf numFmtId="0" fontId="3" fillId="0" borderId="0" xfId="0" applyFont="1"/>
    <xf numFmtId="166" fontId="23" fillId="0" borderId="1" xfId="0" applyNumberFormat="1" applyFont="1" applyBorder="1" applyAlignment="1">
      <alignment horizontal="center"/>
    </xf>
    <xf numFmtId="1" fontId="22" fillId="0" borderId="1" xfId="0" applyNumberFormat="1" applyFont="1" applyBorder="1" applyAlignment="1">
      <alignment horizontal="center"/>
    </xf>
    <xf numFmtId="0" fontId="34" fillId="0" borderId="1" xfId="0" applyFont="1" applyBorder="1"/>
    <xf numFmtId="164" fontId="7" fillId="0" borderId="6" xfId="0" applyNumberFormat="1" applyFont="1" applyBorder="1" applyAlignment="1">
      <alignment horizontal="center"/>
    </xf>
    <xf numFmtId="164" fontId="7" fillId="0" borderId="18" xfId="0" applyNumberFormat="1" applyFont="1" applyBorder="1" applyAlignment="1">
      <alignment horizontal="center"/>
    </xf>
    <xf numFmtId="164" fontId="43" fillId="0" borderId="0" xfId="0" applyNumberFormat="1" applyFont="1" applyAlignment="1">
      <alignment horizontal="center"/>
    </xf>
    <xf numFmtId="1" fontId="7" fillId="0" borderId="1" xfId="0" applyNumberFormat="1" applyFont="1" applyBorder="1" applyAlignment="1">
      <alignment horizontal="center"/>
    </xf>
    <xf numFmtId="1" fontId="7" fillId="0" borderId="6" xfId="0" applyNumberFormat="1" applyFont="1" applyBorder="1" applyAlignment="1">
      <alignment horizontal="center"/>
    </xf>
    <xf numFmtId="1" fontId="37" fillId="0" borderId="3" xfId="0" applyNumberFormat="1" applyFont="1" applyBorder="1" applyAlignment="1">
      <alignment horizontal="center"/>
    </xf>
    <xf numFmtId="1" fontId="37" fillId="0" borderId="10" xfId="0" applyNumberFormat="1" applyFont="1" applyBorder="1" applyAlignment="1">
      <alignment horizontal="center"/>
    </xf>
    <xf numFmtId="1" fontId="37" fillId="0" borderId="9" xfId="0" applyNumberFormat="1" applyFont="1" applyBorder="1" applyAlignment="1">
      <alignment horizontal="center"/>
    </xf>
    <xf numFmtId="165" fontId="6" fillId="6" borderId="2" xfId="0" applyNumberFormat="1" applyFont="1" applyFill="1" applyBorder="1" applyAlignment="1">
      <alignment horizontal="center"/>
    </xf>
    <xf numFmtId="10" fontId="6" fillId="6" borderId="2" xfId="0" applyNumberFormat="1" applyFont="1" applyFill="1" applyBorder="1" applyAlignment="1">
      <alignment horizontal="center"/>
    </xf>
    <xf numFmtId="164" fontId="7" fillId="6" borderId="2" xfId="0" applyNumberFormat="1" applyFont="1" applyFill="1" applyBorder="1" applyAlignment="1">
      <alignment horizontal="center"/>
    </xf>
    <xf numFmtId="164" fontId="36" fillId="0" borderId="3" xfId="0" applyNumberFormat="1" applyFont="1" applyBorder="1" applyAlignment="1">
      <alignment horizontal="center"/>
    </xf>
    <xf numFmtId="164" fontId="36" fillId="0" borderId="10" xfId="0" applyNumberFormat="1" applyFont="1" applyBorder="1" applyAlignment="1">
      <alignment horizontal="center"/>
    </xf>
    <xf numFmtId="164" fontId="31" fillId="0" borderId="9" xfId="0" applyNumberFormat="1" applyFont="1" applyBorder="1" applyAlignment="1">
      <alignment horizontal="center"/>
    </xf>
    <xf numFmtId="164" fontId="7" fillId="0" borderId="9" xfId="0" applyNumberFormat="1" applyFont="1" applyBorder="1" applyAlignment="1">
      <alignment horizontal="center"/>
    </xf>
    <xf numFmtId="164" fontId="41" fillId="0" borderId="10" xfId="0" applyNumberFormat="1" applyFont="1" applyBorder="1" applyAlignment="1">
      <alignment horizontal="center"/>
    </xf>
    <xf numFmtId="49" fontId="33" fillId="0" borderId="0" xfId="0" applyNumberFormat="1" applyFont="1" applyAlignment="1">
      <alignment horizontal="center"/>
    </xf>
    <xf numFmtId="1" fontId="45" fillId="0" borderId="0" xfId="0" applyNumberFormat="1" applyFont="1" applyAlignment="1">
      <alignment horizontal="left"/>
    </xf>
    <xf numFmtId="0" fontId="34" fillId="0" borderId="0" xfId="0" applyFont="1" applyAlignment="1">
      <alignment horizontal="left"/>
    </xf>
    <xf numFmtId="0" fontId="2" fillId="0" borderId="2" xfId="0" applyFont="1" applyBorder="1" applyAlignment="1">
      <alignment horizontal="center"/>
    </xf>
    <xf numFmtId="164" fontId="6" fillId="0" borderId="10" xfId="0" applyNumberFormat="1" applyFont="1" applyBorder="1" applyAlignment="1">
      <alignment horizontal="center"/>
    </xf>
    <xf numFmtId="0" fontId="40" fillId="0" borderId="0" xfId="0" applyFont="1" applyAlignment="1">
      <alignment horizontal="left"/>
    </xf>
    <xf numFmtId="2" fontId="2" fillId="8" borderId="0" xfId="0" applyNumberFormat="1" applyFont="1" applyFill="1" applyAlignment="1">
      <alignment horizontal="center"/>
    </xf>
    <xf numFmtId="169" fontId="7" fillId="0" borderId="0" xfId="0" applyNumberFormat="1" applyFont="1" applyAlignment="1">
      <alignment horizontal="center"/>
    </xf>
    <xf numFmtId="169" fontId="7" fillId="0" borderId="1" xfId="0" applyNumberFormat="1" applyFont="1" applyBorder="1" applyAlignment="1">
      <alignment horizontal="center"/>
    </xf>
    <xf numFmtId="169" fontId="7" fillId="0" borderId="2" xfId="0" applyNumberFormat="1" applyFont="1" applyBorder="1" applyAlignment="1">
      <alignment horizontal="center"/>
    </xf>
    <xf numFmtId="1" fontId="7" fillId="0" borderId="3" xfId="0" applyNumberFormat="1" applyFont="1" applyBorder="1" applyAlignment="1">
      <alignment horizontal="center"/>
    </xf>
    <xf numFmtId="169" fontId="7" fillId="0" borderId="3" xfId="0" applyNumberFormat="1" applyFont="1" applyBorder="1" applyAlignment="1">
      <alignment horizontal="center"/>
    </xf>
    <xf numFmtId="164" fontId="34" fillId="0" borderId="0" xfId="0" applyNumberFormat="1" applyFont="1"/>
    <xf numFmtId="0" fontId="61" fillId="0" borderId="0" xfId="0" applyFont="1"/>
    <xf numFmtId="164" fontId="64" fillId="0" borderId="1" xfId="0" applyNumberFormat="1" applyFont="1" applyBorder="1" applyAlignment="1">
      <alignment horizontal="center"/>
    </xf>
    <xf numFmtId="4" fontId="8" fillId="0" borderId="0" xfId="0" applyNumberFormat="1" applyFont="1" applyAlignment="1">
      <alignment horizontal="center"/>
    </xf>
    <xf numFmtId="4" fontId="36" fillId="0" borderId="1" xfId="0" applyNumberFormat="1" applyFont="1" applyBorder="1" applyAlignment="1">
      <alignment horizontal="center"/>
    </xf>
    <xf numFmtId="4" fontId="8" fillId="0" borderId="1" xfId="0" applyNumberFormat="1" applyFont="1" applyBorder="1" applyAlignment="1">
      <alignment horizontal="center"/>
    </xf>
    <xf numFmtId="4" fontId="8" fillId="0" borderId="2" xfId="0" applyNumberFormat="1" applyFont="1" applyBorder="1" applyAlignment="1">
      <alignment horizontal="center"/>
    </xf>
    <xf numFmtId="164" fontId="8" fillId="0" borderId="10" xfId="0" applyNumberFormat="1" applyFont="1" applyBorder="1" applyAlignment="1">
      <alignment horizontal="center"/>
    </xf>
    <xf numFmtId="164" fontId="9" fillId="0" borderId="1" xfId="0" applyNumberFormat="1" applyFont="1" applyBorder="1" applyAlignment="1">
      <alignment horizontal="center"/>
    </xf>
    <xf numFmtId="164" fontId="9" fillId="0" borderId="2" xfId="0" applyNumberFormat="1" applyFont="1" applyBorder="1" applyAlignment="1">
      <alignment horizontal="center"/>
    </xf>
    <xf numFmtId="164" fontId="34" fillId="0" borderId="3" xfId="0" applyNumberFormat="1" applyFont="1" applyBorder="1"/>
    <xf numFmtId="4" fontId="8" fillId="0" borderId="6" xfId="0" applyNumberFormat="1" applyFont="1" applyBorder="1" applyAlignment="1">
      <alignment horizontal="center"/>
    </xf>
    <xf numFmtId="4" fontId="17" fillId="0" borderId="0" xfId="0" applyNumberFormat="1" applyFont="1" applyAlignment="1">
      <alignment horizontal="center"/>
    </xf>
    <xf numFmtId="164" fontId="17" fillId="0" borderId="6" xfId="0" applyNumberFormat="1" applyFont="1" applyBorder="1" applyAlignment="1">
      <alignment horizontal="center"/>
    </xf>
    <xf numFmtId="4" fontId="17" fillId="0" borderId="1" xfId="0" applyNumberFormat="1" applyFont="1" applyBorder="1" applyAlignment="1">
      <alignment horizontal="center"/>
    </xf>
    <xf numFmtId="4" fontId="17" fillId="0" borderId="2" xfId="0" applyNumberFormat="1" applyFont="1" applyBorder="1" applyAlignment="1">
      <alignment horizontal="center"/>
    </xf>
    <xf numFmtId="164" fontId="59" fillId="0" borderId="0" xfId="0" applyNumberFormat="1" applyFont="1" applyAlignment="1">
      <alignment horizontal="center"/>
    </xf>
    <xf numFmtId="0" fontId="48" fillId="0" borderId="0" xfId="0" applyFont="1" applyAlignment="1">
      <alignment horizontal="center"/>
    </xf>
    <xf numFmtId="0" fontId="45" fillId="0" borderId="3" xfId="0" applyFont="1" applyBorder="1" applyAlignment="1">
      <alignment horizontal="left"/>
    </xf>
    <xf numFmtId="164" fontId="2" fillId="0" borderId="3" xfId="0" applyNumberFormat="1" applyFont="1" applyBorder="1" applyAlignment="1">
      <alignment horizontal="center"/>
    </xf>
    <xf numFmtId="164" fontId="2" fillId="0" borderId="0" xfId="0" applyNumberFormat="1" applyFont="1" applyAlignment="1">
      <alignment horizontal="center"/>
    </xf>
    <xf numFmtId="0" fontId="51" fillId="0" borderId="17" xfId="0" applyFont="1" applyBorder="1" applyAlignment="1">
      <alignment horizontal="center"/>
    </xf>
    <xf numFmtId="0" fontId="45" fillId="0" borderId="0" xfId="0" applyFont="1" applyAlignment="1">
      <alignment horizontal="center"/>
    </xf>
    <xf numFmtId="166" fontId="32" fillId="0" borderId="2" xfId="0" applyNumberFormat="1" applyFont="1" applyBorder="1" applyAlignment="1">
      <alignment horizontal="center"/>
    </xf>
    <xf numFmtId="169" fontId="32" fillId="0" borderId="2" xfId="0" applyNumberFormat="1" applyFont="1" applyBorder="1" applyAlignment="1">
      <alignment horizontal="center"/>
    </xf>
    <xf numFmtId="10" fontId="32" fillId="6" borderId="2" xfId="0" applyNumberFormat="1" applyFont="1" applyFill="1" applyBorder="1" applyAlignment="1">
      <alignment horizontal="center"/>
    </xf>
    <xf numFmtId="0" fontId="66" fillId="8" borderId="0" xfId="0" applyFont="1" applyFill="1" applyAlignment="1">
      <alignment horizontal="center"/>
    </xf>
    <xf numFmtId="2" fontId="26" fillId="0" borderId="4" xfId="0" applyNumberFormat="1" applyFont="1" applyBorder="1" applyAlignment="1">
      <alignment horizontal="center"/>
    </xf>
    <xf numFmtId="164" fontId="22" fillId="0" borderId="1" xfId="0" applyNumberFormat="1" applyFont="1" applyBorder="1" applyAlignment="1">
      <alignment horizontal="center"/>
    </xf>
    <xf numFmtId="167" fontId="33" fillId="0" borderId="8" xfId="0" applyNumberFormat="1" applyFont="1" applyBorder="1" applyAlignment="1">
      <alignment horizontal="center"/>
    </xf>
    <xf numFmtId="164" fontId="33" fillId="0" borderId="7" xfId="0" applyNumberFormat="1" applyFont="1" applyBorder="1" applyAlignment="1">
      <alignment horizontal="center"/>
    </xf>
    <xf numFmtId="164" fontId="25" fillId="0" borderId="12" xfId="0" applyNumberFormat="1" applyFont="1" applyBorder="1" applyAlignment="1">
      <alignment horizontal="center"/>
    </xf>
    <xf numFmtId="164" fontId="6" fillId="0" borderId="9" xfId="0" applyNumberFormat="1" applyFont="1" applyBorder="1" applyAlignment="1">
      <alignment horizontal="center"/>
    </xf>
    <xf numFmtId="1" fontId="66" fillId="0" borderId="0" xfId="0" applyNumberFormat="1" applyFont="1" applyAlignment="1">
      <alignment horizontal="center"/>
    </xf>
    <xf numFmtId="44" fontId="66" fillId="0" borderId="15" xfId="0" applyNumberFormat="1" applyFont="1" applyBorder="1" applyAlignment="1">
      <alignment horizontal="center"/>
    </xf>
    <xf numFmtId="1" fontId="66" fillId="0" borderId="15" xfId="0" applyNumberFormat="1" applyFont="1" applyBorder="1" applyAlignment="1">
      <alignment horizontal="center"/>
    </xf>
    <xf numFmtId="1" fontId="66" fillId="0" borderId="14" xfId="0" applyNumberFormat="1" applyFont="1" applyBorder="1" applyAlignment="1">
      <alignment horizontal="center"/>
    </xf>
    <xf numFmtId="0" fontId="3" fillId="0" borderId="9" xfId="0" applyFont="1" applyBorder="1" applyAlignment="1">
      <alignment horizontal="center"/>
    </xf>
    <xf numFmtId="167" fontId="22" fillId="0" borderId="5" xfId="0" applyNumberFormat="1" applyFont="1" applyBorder="1" applyAlignment="1">
      <alignment horizontal="center"/>
    </xf>
    <xf numFmtId="0" fontId="35" fillId="0" borderId="1" xfId="0" applyFont="1" applyBorder="1" applyAlignment="1">
      <alignment horizontal="center"/>
    </xf>
    <xf numFmtId="164" fontId="22" fillId="0" borderId="8" xfId="0" applyNumberFormat="1" applyFont="1" applyBorder="1" applyAlignment="1">
      <alignment horizontal="center"/>
    </xf>
    <xf numFmtId="164" fontId="22" fillId="0" borderId="2" xfId="0" applyNumberFormat="1" applyFont="1" applyBorder="1" applyAlignment="1">
      <alignment horizontal="center"/>
    </xf>
    <xf numFmtId="0" fontId="3" fillId="0" borderId="3" xfId="0" applyFont="1" applyBorder="1" applyAlignment="1">
      <alignment horizontal="center"/>
    </xf>
    <xf numFmtId="0" fontId="3" fillId="0" borderId="1" xfId="0" applyFont="1" applyBorder="1" applyAlignment="1">
      <alignment horizontal="left"/>
    </xf>
    <xf numFmtId="2" fontId="18" fillId="0" borderId="0" xfId="0" applyNumberFormat="1" applyFont="1" applyAlignment="1">
      <alignment horizontal="center"/>
    </xf>
    <xf numFmtId="49" fontId="33" fillId="0" borderId="1" xfId="0" applyNumberFormat="1" applyFont="1" applyBorder="1" applyAlignment="1">
      <alignment horizontal="center"/>
    </xf>
    <xf numFmtId="4" fontId="32" fillId="0" borderId="1" xfId="0" applyNumberFormat="1" applyFont="1" applyBorder="1" applyAlignment="1">
      <alignment horizontal="center"/>
    </xf>
    <xf numFmtId="165" fontId="33" fillId="6" borderId="1" xfId="0" applyNumberFormat="1" applyFont="1" applyFill="1" applyBorder="1" applyAlignment="1">
      <alignment horizontal="center"/>
    </xf>
    <xf numFmtId="1" fontId="33" fillId="0" borderId="10" xfId="0" applyNumberFormat="1" applyFont="1" applyBorder="1" applyAlignment="1">
      <alignment horizontal="center"/>
    </xf>
    <xf numFmtId="169" fontId="32" fillId="0" borderId="1" xfId="0" applyNumberFormat="1" applyFont="1" applyBorder="1" applyAlignment="1">
      <alignment horizontal="center"/>
    </xf>
    <xf numFmtId="10" fontId="33" fillId="6" borderId="1" xfId="0" applyNumberFormat="1" applyFont="1" applyFill="1" applyBorder="1" applyAlignment="1">
      <alignment horizontal="center"/>
    </xf>
    <xf numFmtId="164" fontId="32" fillId="0" borderId="10" xfId="0" applyNumberFormat="1" applyFont="1" applyBorder="1" applyAlignment="1">
      <alignment horizontal="center"/>
    </xf>
    <xf numFmtId="164" fontId="32" fillId="6" borderId="1" xfId="0" applyNumberFormat="1" applyFont="1" applyFill="1" applyBorder="1" applyAlignment="1">
      <alignment horizontal="center"/>
    </xf>
    <xf numFmtId="1" fontId="6" fillId="0" borderId="3" xfId="0" applyNumberFormat="1" applyFont="1" applyBorder="1" applyAlignment="1">
      <alignment horizontal="center"/>
    </xf>
    <xf numFmtId="10" fontId="9" fillId="0" borderId="1" xfId="0" applyNumberFormat="1" applyFont="1" applyBorder="1" applyAlignment="1">
      <alignment horizontal="center"/>
    </xf>
    <xf numFmtId="1" fontId="19" fillId="0" borderId="0" xfId="0" applyNumberFormat="1" applyFont="1" applyAlignment="1">
      <alignment horizontal="left"/>
    </xf>
    <xf numFmtId="0" fontId="34" fillId="0" borderId="8" xfId="0" applyFont="1" applyBorder="1"/>
    <xf numFmtId="0" fontId="32" fillId="0" borderId="2" xfId="0" applyFont="1" applyBorder="1"/>
    <xf numFmtId="0" fontId="34" fillId="0" borderId="2" xfId="0" applyFont="1" applyBorder="1"/>
    <xf numFmtId="1" fontId="33" fillId="0" borderId="8" xfId="0" applyNumberFormat="1" applyFont="1" applyBorder="1" applyAlignment="1">
      <alignment horizontal="center"/>
    </xf>
    <xf numFmtId="164" fontId="33" fillId="0" borderId="8" xfId="0" applyNumberFormat="1" applyFont="1" applyBorder="1" applyAlignment="1">
      <alignment horizontal="center"/>
    </xf>
    <xf numFmtId="0" fontId="3" fillId="0" borderId="2" xfId="0" applyFont="1" applyBorder="1" applyAlignment="1">
      <alignment horizontal="center"/>
    </xf>
    <xf numFmtId="0" fontId="3" fillId="0" borderId="1" xfId="0" applyFont="1" applyBorder="1" applyAlignment="1">
      <alignment horizontal="center"/>
    </xf>
    <xf numFmtId="167" fontId="6" fillId="0" borderId="5" xfId="0" applyNumberFormat="1" applyFont="1" applyBorder="1" applyAlignment="1">
      <alignment horizontal="center"/>
    </xf>
    <xf numFmtId="164" fontId="6" fillId="0" borderId="11" xfId="0" applyNumberFormat="1" applyFont="1" applyBorder="1" applyAlignment="1">
      <alignment horizontal="center"/>
    </xf>
    <xf numFmtId="0" fontId="62" fillId="0" borderId="5" xfId="0" applyFont="1" applyBorder="1" applyAlignment="1">
      <alignment horizontal="center"/>
    </xf>
    <xf numFmtId="0" fontId="68" fillId="0" borderId="3" xfId="0" applyFont="1" applyBorder="1" applyAlignment="1">
      <alignment horizontal="left"/>
    </xf>
    <xf numFmtId="0" fontId="3" fillId="8" borderId="3" xfId="0" applyFont="1" applyFill="1" applyBorder="1" applyAlignment="1">
      <alignment horizontal="center"/>
    </xf>
    <xf numFmtId="164" fontId="23" fillId="0" borderId="3" xfId="0" applyNumberFormat="1" applyFont="1" applyBorder="1" applyAlignment="1">
      <alignment horizontal="center"/>
    </xf>
    <xf numFmtId="0" fontId="67" fillId="0" borderId="0" xfId="0" applyFont="1" applyAlignment="1">
      <alignment horizontal="left"/>
    </xf>
    <xf numFmtId="1" fontId="33" fillId="0" borderId="2" xfId="0" applyNumberFormat="1" applyFont="1" applyBorder="1" applyAlignment="1">
      <alignment horizontal="center"/>
    </xf>
    <xf numFmtId="1" fontId="6" fillId="0" borderId="6" xfId="0" applyNumberFormat="1" applyFont="1" applyBorder="1" applyAlignment="1">
      <alignment horizontal="center"/>
    </xf>
    <xf numFmtId="0" fontId="69" fillId="8" borderId="0" xfId="0" applyFont="1" applyFill="1" applyAlignment="1">
      <alignment horizontal="center"/>
    </xf>
    <xf numFmtId="164" fontId="48" fillId="0" borderId="0" xfId="0" applyNumberFormat="1" applyFont="1" applyAlignment="1">
      <alignment horizontal="center"/>
    </xf>
    <xf numFmtId="164" fontId="32" fillId="0" borderId="3" xfId="0" applyNumberFormat="1" applyFont="1" applyBorder="1" applyAlignment="1">
      <alignment horizontal="center"/>
    </xf>
    <xf numFmtId="164" fontId="17" fillId="0" borderId="4" xfId="0" applyNumberFormat="1" applyFont="1" applyBorder="1" applyAlignment="1">
      <alignment horizontal="right"/>
    </xf>
    <xf numFmtId="0" fontId="70" fillId="0" borderId="0" xfId="0" applyFont="1" applyAlignment="1">
      <alignment horizontal="left"/>
    </xf>
    <xf numFmtId="4" fontId="23" fillId="0" borderId="0" xfId="0" applyNumberFormat="1" applyFont="1" applyAlignment="1">
      <alignment horizontal="center"/>
    </xf>
    <xf numFmtId="165" fontId="22" fillId="6" borderId="0" xfId="0" applyNumberFormat="1" applyFont="1" applyFill="1" applyAlignment="1">
      <alignment horizontal="center"/>
    </xf>
    <xf numFmtId="166" fontId="23" fillId="0" borderId="0" xfId="0" applyNumberFormat="1" applyFont="1" applyAlignment="1">
      <alignment horizontal="center"/>
    </xf>
    <xf numFmtId="1" fontId="22" fillId="0" borderId="3" xfId="0" applyNumberFormat="1" applyFont="1" applyBorder="1" applyAlignment="1">
      <alignment horizontal="center"/>
    </xf>
    <xf numFmtId="169" fontId="23" fillId="0" borderId="0" xfId="0" applyNumberFormat="1" applyFont="1" applyAlignment="1">
      <alignment horizontal="center"/>
    </xf>
    <xf numFmtId="10" fontId="22" fillId="6" borderId="0" xfId="0" applyNumberFormat="1" applyFont="1" applyFill="1" applyAlignment="1">
      <alignment horizontal="center"/>
    </xf>
    <xf numFmtId="164" fontId="23" fillId="6" borderId="0" xfId="0" applyNumberFormat="1" applyFont="1" applyFill="1" applyAlignment="1">
      <alignment horizontal="center"/>
    </xf>
    <xf numFmtId="0" fontId="21" fillId="0" borderId="12" xfId="0" applyFont="1" applyBorder="1"/>
    <xf numFmtId="2" fontId="32" fillId="0" borderId="4" xfId="0" applyNumberFormat="1" applyFont="1" applyBorder="1" applyAlignment="1">
      <alignment horizontal="center"/>
    </xf>
    <xf numFmtId="0" fontId="68" fillId="0" borderId="0" xfId="0" applyFont="1" applyAlignment="1">
      <alignment horizontal="left"/>
    </xf>
    <xf numFmtId="0" fontId="71" fillId="0" borderId="10" xfId="0" applyFont="1" applyBorder="1" applyAlignment="1">
      <alignment horizontal="left"/>
    </xf>
    <xf numFmtId="0" fontId="52" fillId="0" borderId="0" xfId="0" applyFont="1" applyAlignment="1">
      <alignment horizontal="center"/>
    </xf>
    <xf numFmtId="0" fontId="70" fillId="0" borderId="3" xfId="0" applyFont="1" applyBorder="1" applyAlignment="1">
      <alignment horizontal="left"/>
    </xf>
    <xf numFmtId="0" fontId="61" fillId="0" borderId="0" xfId="0" applyFont="1" applyAlignment="1">
      <alignment horizontal="center"/>
    </xf>
    <xf numFmtId="0" fontId="47" fillId="0" borderId="0" xfId="0" applyFont="1" applyAlignment="1">
      <alignment horizontal="center"/>
    </xf>
    <xf numFmtId="0" fontId="70" fillId="0" borderId="17" xfId="0" applyFont="1" applyBorder="1" applyAlignment="1">
      <alignment horizontal="center"/>
    </xf>
    <xf numFmtId="0" fontId="70" fillId="0" borderId="0" xfId="0" applyFont="1" applyAlignment="1">
      <alignment horizontal="center"/>
    </xf>
    <xf numFmtId="1" fontId="33" fillId="0" borderId="1" xfId="0" applyNumberFormat="1" applyFont="1" applyBorder="1" applyAlignment="1">
      <alignment horizontal="left"/>
    </xf>
    <xf numFmtId="164" fontId="34" fillId="0" borderId="1" xfId="0" applyNumberFormat="1" applyFont="1" applyBorder="1"/>
    <xf numFmtId="164" fontId="31" fillId="0" borderId="1" xfId="0" applyNumberFormat="1" applyFont="1" applyBorder="1" applyAlignment="1">
      <alignment horizontal="center"/>
    </xf>
    <xf numFmtId="164" fontId="48" fillId="0" borderId="1" xfId="0" applyNumberFormat="1" applyFont="1" applyBorder="1"/>
    <xf numFmtId="164" fontId="30" fillId="0" borderId="0" xfId="0" applyNumberFormat="1" applyFont="1" applyAlignment="1">
      <alignment horizontal="center"/>
    </xf>
    <xf numFmtId="164" fontId="30" fillId="0" borderId="6" xfId="0" applyNumberFormat="1" applyFont="1" applyBorder="1" applyAlignment="1">
      <alignment horizontal="center"/>
    </xf>
    <xf numFmtId="164" fontId="30" fillId="0" borderId="7" xfId="0" applyNumberFormat="1" applyFont="1" applyBorder="1" applyAlignment="1">
      <alignment horizontal="center"/>
    </xf>
    <xf numFmtId="164" fontId="33" fillId="0" borderId="2" xfId="0" applyNumberFormat="1" applyFont="1" applyBorder="1" applyAlignment="1">
      <alignment horizontal="center"/>
    </xf>
    <xf numFmtId="164" fontId="25" fillId="0" borderId="0" xfId="0" applyNumberFormat="1" applyFont="1" applyAlignment="1">
      <alignment horizontal="center"/>
    </xf>
    <xf numFmtId="1" fontId="8" fillId="0" borderId="1" xfId="0" applyNumberFormat="1" applyFont="1" applyBorder="1"/>
    <xf numFmtId="0" fontId="21" fillId="0" borderId="1" xfId="0" applyFont="1" applyBorder="1" applyAlignment="1">
      <alignment horizontal="center"/>
    </xf>
    <xf numFmtId="2" fontId="6" fillId="0" borderId="4" xfId="0" applyNumberFormat="1" applyFont="1" applyBorder="1" applyAlignment="1">
      <alignment horizontal="center"/>
    </xf>
    <xf numFmtId="1" fontId="33" fillId="0" borderId="9" xfId="0" applyNumberFormat="1" applyFont="1" applyBorder="1" applyAlignment="1">
      <alignment horizontal="left"/>
    </xf>
    <xf numFmtId="164" fontId="32" fillId="0" borderId="2" xfId="0" applyNumberFormat="1" applyFont="1" applyBorder="1" applyAlignment="1">
      <alignment horizontal="center"/>
    </xf>
    <xf numFmtId="49" fontId="33" fillId="0" borderId="2" xfId="0" applyNumberFormat="1" applyFont="1" applyBorder="1" applyAlignment="1">
      <alignment horizontal="center"/>
    </xf>
    <xf numFmtId="1" fontId="32" fillId="0" borderId="2" xfId="0" applyNumberFormat="1" applyFont="1" applyBorder="1" applyAlignment="1">
      <alignment horizontal="center"/>
    </xf>
    <xf numFmtId="1" fontId="33" fillId="0" borderId="0" xfId="0" applyNumberFormat="1" applyFont="1" applyAlignment="1">
      <alignment horizontal="center"/>
    </xf>
    <xf numFmtId="4" fontId="32" fillId="0" borderId="2" xfId="0" applyNumberFormat="1" applyFont="1" applyBorder="1" applyAlignment="1">
      <alignment horizontal="center"/>
    </xf>
    <xf numFmtId="166" fontId="32" fillId="0" borderId="0" xfId="0" applyNumberFormat="1" applyFont="1" applyAlignment="1">
      <alignment horizontal="center"/>
    </xf>
    <xf numFmtId="10" fontId="32" fillId="0" borderId="0" xfId="0" applyNumberFormat="1" applyFont="1" applyAlignment="1">
      <alignment horizontal="center"/>
    </xf>
    <xf numFmtId="0" fontId="50" fillId="0" borderId="0" xfId="0" applyFont="1" applyAlignment="1">
      <alignment horizontal="center"/>
    </xf>
    <xf numFmtId="164" fontId="39" fillId="0" borderId="6" xfId="0" applyNumberFormat="1" applyFont="1" applyBorder="1" applyAlignment="1">
      <alignment horizontal="center"/>
    </xf>
    <xf numFmtId="170" fontId="4" fillId="0" borderId="0" xfId="0" applyNumberFormat="1" applyFont="1" applyAlignment="1">
      <alignment horizontal="center"/>
    </xf>
    <xf numFmtId="170" fontId="17" fillId="0" borderId="4" xfId="0" applyNumberFormat="1" applyFont="1" applyBorder="1" applyAlignment="1">
      <alignment horizontal="center"/>
    </xf>
    <xf numFmtId="170" fontId="4" fillId="0" borderId="4" xfId="0" applyNumberFormat="1" applyFont="1" applyBorder="1" applyAlignment="1">
      <alignment horizontal="center"/>
    </xf>
    <xf numFmtId="164" fontId="33" fillId="0" borderId="10" xfId="0" applyNumberFormat="1" applyFont="1" applyBorder="1" applyAlignment="1">
      <alignment horizontal="center"/>
    </xf>
    <xf numFmtId="0" fontId="66" fillId="8" borderId="3" xfId="0" applyFont="1" applyFill="1" applyBorder="1" applyAlignment="1">
      <alignment horizontal="center"/>
    </xf>
    <xf numFmtId="1" fontId="7" fillId="0" borderId="4" xfId="1" applyNumberFormat="1" applyFont="1" applyFill="1" applyBorder="1" applyAlignment="1">
      <alignment horizontal="center"/>
    </xf>
    <xf numFmtId="164" fontId="39" fillId="0" borderId="5" xfId="0" applyNumberFormat="1" applyFont="1" applyBorder="1" applyAlignment="1">
      <alignment horizontal="center"/>
    </xf>
    <xf numFmtId="0" fontId="78" fillId="0" borderId="0" xfId="0" applyFont="1" applyAlignment="1">
      <alignment horizontal="center"/>
    </xf>
    <xf numFmtId="3" fontId="0" fillId="0" borderId="0" xfId="0" applyNumberFormat="1" applyAlignment="1">
      <alignment horizontal="center"/>
    </xf>
    <xf numFmtId="3" fontId="9" fillId="0" borderId="0" xfId="0" applyNumberFormat="1" applyFont="1" applyAlignment="1">
      <alignment horizontal="center"/>
    </xf>
    <xf numFmtId="3" fontId="24" fillId="0" borderId="9" xfId="0" applyNumberFormat="1" applyFont="1" applyBorder="1" applyAlignment="1">
      <alignment horizontal="center"/>
    </xf>
    <xf numFmtId="3" fontId="24" fillId="0" borderId="4" xfId="0" applyNumberFormat="1" applyFont="1" applyBorder="1" applyAlignment="1">
      <alignment horizontal="center"/>
    </xf>
    <xf numFmtId="3" fontId="24" fillId="0" borderId="5" xfId="0" applyNumberFormat="1" applyFont="1" applyBorder="1" applyAlignment="1">
      <alignment horizontal="center"/>
    </xf>
    <xf numFmtId="3" fontId="6" fillId="0" borderId="4" xfId="0" applyNumberFormat="1" applyFont="1" applyBorder="1" applyAlignment="1">
      <alignment horizontal="center"/>
    </xf>
    <xf numFmtId="3" fontId="33" fillId="0" borderId="8" xfId="0" applyNumberFormat="1" applyFont="1" applyBorder="1" applyAlignment="1">
      <alignment horizontal="center"/>
    </xf>
    <xf numFmtId="3" fontId="33" fillId="0" borderId="4" xfId="0" applyNumberFormat="1" applyFont="1" applyBorder="1" applyAlignment="1">
      <alignment horizontal="center"/>
    </xf>
    <xf numFmtId="3" fontId="6" fillId="0" borderId="3" xfId="0" applyNumberFormat="1" applyFont="1" applyBorder="1" applyAlignment="1">
      <alignment horizontal="center"/>
    </xf>
    <xf numFmtId="3" fontId="33" fillId="0" borderId="5" xfId="0" applyNumberFormat="1" applyFont="1" applyBorder="1" applyAlignment="1">
      <alignment horizontal="center"/>
    </xf>
    <xf numFmtId="3" fontId="6" fillId="0" borderId="8" xfId="0" applyNumberFormat="1" applyFont="1" applyBorder="1" applyAlignment="1">
      <alignment horizontal="center"/>
    </xf>
    <xf numFmtId="3" fontId="6" fillId="0" borderId="10" xfId="0" applyNumberFormat="1" applyFont="1" applyBorder="1" applyAlignment="1">
      <alignment horizontal="center"/>
    </xf>
    <xf numFmtId="3" fontId="22" fillId="0" borderId="5" xfId="0" applyNumberFormat="1" applyFont="1" applyBorder="1" applyAlignment="1">
      <alignment horizontal="center"/>
    </xf>
    <xf numFmtId="3" fontId="22" fillId="0" borderId="8" xfId="0" applyNumberFormat="1" applyFont="1" applyBorder="1" applyAlignment="1">
      <alignment horizontal="center"/>
    </xf>
    <xf numFmtId="3" fontId="22" fillId="0" borderId="4" xfId="0" applyNumberFormat="1" applyFont="1" applyBorder="1" applyAlignment="1">
      <alignment horizontal="center"/>
    </xf>
    <xf numFmtId="3" fontId="0" fillId="0" borderId="4" xfId="0" applyNumberFormat="1" applyBorder="1" applyAlignment="1">
      <alignment horizontal="center"/>
    </xf>
    <xf numFmtId="2" fontId="33" fillId="0" borderId="4" xfId="0" applyNumberFormat="1" applyFont="1" applyBorder="1" applyAlignment="1">
      <alignment horizontal="center"/>
    </xf>
    <xf numFmtId="2" fontId="4" fillId="0" borderId="13" xfId="0" applyNumberFormat="1" applyFont="1" applyBorder="1" applyAlignment="1">
      <alignment horizontal="left"/>
    </xf>
    <xf numFmtId="2" fontId="4" fillId="0" borderId="15" xfId="0" applyNumberFormat="1" applyFont="1" applyBorder="1" applyAlignment="1">
      <alignment horizontal="center"/>
    </xf>
    <xf numFmtId="170" fontId="4" fillId="0" borderId="15" xfId="0" applyNumberFormat="1" applyFont="1" applyBorder="1" applyAlignment="1">
      <alignment horizontal="center"/>
    </xf>
    <xf numFmtId="1" fontId="33" fillId="0" borderId="3" xfId="0" applyNumberFormat="1" applyFont="1" applyBorder="1" applyAlignment="1">
      <alignment horizontal="left"/>
    </xf>
    <xf numFmtId="1" fontId="33" fillId="0" borderId="3" xfId="0" applyNumberFormat="1" applyFont="1" applyBorder="1" applyAlignment="1">
      <alignment horizontal="center"/>
    </xf>
    <xf numFmtId="169" fontId="32" fillId="0" borderId="0" xfId="0" applyNumberFormat="1" applyFont="1" applyAlignment="1">
      <alignment horizontal="center"/>
    </xf>
    <xf numFmtId="1" fontId="6" fillId="0" borderId="9" xfId="0" applyNumberFormat="1" applyFont="1" applyBorder="1" applyAlignment="1">
      <alignment horizontal="center"/>
    </xf>
    <xf numFmtId="170" fontId="7" fillId="0" borderId="4" xfId="0" applyNumberFormat="1" applyFont="1" applyBorder="1" applyAlignment="1">
      <alignment horizontal="center"/>
    </xf>
    <xf numFmtId="165" fontId="32" fillId="6" borderId="0" xfId="0" applyNumberFormat="1" applyFont="1" applyFill="1" applyAlignment="1">
      <alignment horizontal="center"/>
    </xf>
    <xf numFmtId="10" fontId="32" fillId="6" borderId="0" xfId="0" applyNumberFormat="1" applyFont="1" applyFill="1" applyAlignment="1">
      <alignment horizontal="center"/>
    </xf>
    <xf numFmtId="3" fontId="6" fillId="0" borderId="5" xfId="0" applyNumberFormat="1" applyFont="1" applyBorder="1" applyAlignment="1">
      <alignment horizontal="center"/>
    </xf>
    <xf numFmtId="0" fontId="2" fillId="0" borderId="1" xfId="0" applyFont="1" applyBorder="1" applyAlignment="1">
      <alignment horizontal="center"/>
    </xf>
    <xf numFmtId="164" fontId="43" fillId="0" borderId="4" xfId="0" applyNumberFormat="1" applyFont="1" applyBorder="1" applyAlignment="1">
      <alignment horizontal="center"/>
    </xf>
    <xf numFmtId="1" fontId="22" fillId="0" borderId="2" xfId="0" applyNumberFormat="1" applyFont="1" applyBorder="1" applyAlignment="1">
      <alignment horizontal="center"/>
    </xf>
    <xf numFmtId="49" fontId="22" fillId="0" borderId="2" xfId="0" applyNumberFormat="1" applyFont="1" applyBorder="1" applyAlignment="1">
      <alignment horizontal="center"/>
    </xf>
    <xf numFmtId="1" fontId="23" fillId="0" borderId="2" xfId="0" applyNumberFormat="1" applyFont="1" applyBorder="1" applyAlignment="1">
      <alignment horizontal="center"/>
    </xf>
    <xf numFmtId="165" fontId="23" fillId="6" borderId="2" xfId="0" applyNumberFormat="1" applyFont="1" applyFill="1" applyBorder="1" applyAlignment="1">
      <alignment horizontal="center"/>
    </xf>
    <xf numFmtId="10" fontId="23" fillId="0" borderId="2" xfId="0" applyNumberFormat="1" applyFont="1" applyBorder="1" applyAlignment="1">
      <alignment horizontal="center"/>
    </xf>
    <xf numFmtId="10" fontId="23" fillId="6" borderId="2" xfId="0" applyNumberFormat="1" applyFont="1" applyFill="1" applyBorder="1" applyAlignment="1">
      <alignment horizontal="center"/>
    </xf>
    <xf numFmtId="0" fontId="23" fillId="0" borderId="1" xfId="0" applyFont="1" applyBorder="1"/>
    <xf numFmtId="49" fontId="22" fillId="0" borderId="1" xfId="0" applyNumberFormat="1" applyFont="1" applyBorder="1" applyAlignment="1">
      <alignment horizontal="center"/>
    </xf>
    <xf numFmtId="1" fontId="23" fillId="0" borderId="1" xfId="0" applyNumberFormat="1" applyFont="1" applyBorder="1" applyAlignment="1">
      <alignment horizontal="center"/>
    </xf>
    <xf numFmtId="165" fontId="22" fillId="6" borderId="1" xfId="0" applyNumberFormat="1" applyFont="1" applyFill="1" applyBorder="1" applyAlignment="1">
      <alignment horizontal="center"/>
    </xf>
    <xf numFmtId="1" fontId="22" fillId="0" borderId="10" xfId="0" applyNumberFormat="1" applyFont="1" applyBorder="1" applyAlignment="1">
      <alignment horizontal="center"/>
    </xf>
    <xf numFmtId="169" fontId="23" fillId="0" borderId="1" xfId="0" applyNumberFormat="1" applyFont="1" applyBorder="1" applyAlignment="1">
      <alignment horizontal="center"/>
    </xf>
    <xf numFmtId="10" fontId="22" fillId="6" borderId="1" xfId="0" applyNumberFormat="1" applyFont="1" applyFill="1" applyBorder="1" applyAlignment="1">
      <alignment horizontal="center"/>
    </xf>
    <xf numFmtId="164" fontId="23" fillId="0" borderId="10" xfId="0" applyNumberFormat="1" applyFont="1" applyBorder="1" applyAlignment="1">
      <alignment horizontal="center"/>
    </xf>
    <xf numFmtId="164" fontId="23" fillId="6" borderId="1" xfId="0" applyNumberFormat="1" applyFont="1" applyFill="1" applyBorder="1" applyAlignment="1">
      <alignment horizontal="center"/>
    </xf>
    <xf numFmtId="0" fontId="21" fillId="0" borderId="1" xfId="0" applyFont="1" applyBorder="1"/>
    <xf numFmtId="10" fontId="32" fillId="0" borderId="2" xfId="0" applyNumberFormat="1" applyFont="1" applyBorder="1" applyAlignment="1">
      <alignment horizontal="center"/>
    </xf>
    <xf numFmtId="0" fontId="3" fillId="0" borderId="10" xfId="0" applyFont="1" applyBorder="1" applyAlignment="1">
      <alignment horizontal="center"/>
    </xf>
    <xf numFmtId="0" fontId="79" fillId="0" borderId="0" xfId="0" applyFont="1" applyAlignment="1">
      <alignment horizontal="center"/>
    </xf>
    <xf numFmtId="1" fontId="80" fillId="0" borderId="4" xfId="0" applyNumberFormat="1" applyFont="1" applyBorder="1" applyAlignment="1">
      <alignment horizontal="center"/>
    </xf>
    <xf numFmtId="1" fontId="80" fillId="0" borderId="8" xfId="0" applyNumberFormat="1" applyFont="1" applyBorder="1" applyAlignment="1">
      <alignment horizontal="center"/>
    </xf>
    <xf numFmtId="167" fontId="80" fillId="0" borderId="4" xfId="0" applyNumberFormat="1" applyFont="1" applyBorder="1" applyAlignment="1">
      <alignment horizontal="center"/>
    </xf>
    <xf numFmtId="3" fontId="80" fillId="0" borderId="8" xfId="0" applyNumberFormat="1" applyFont="1" applyBorder="1" applyAlignment="1">
      <alignment horizontal="center"/>
    </xf>
    <xf numFmtId="164" fontId="80" fillId="0" borderId="8" xfId="0" applyNumberFormat="1" applyFont="1" applyBorder="1" applyAlignment="1">
      <alignment horizontal="center"/>
    </xf>
    <xf numFmtId="0" fontId="81" fillId="0" borderId="0" xfId="0" applyFont="1" applyAlignment="1">
      <alignment horizontal="center"/>
    </xf>
    <xf numFmtId="3" fontId="80" fillId="0" borderId="4" xfId="0" applyNumberFormat="1" applyFont="1" applyBorder="1" applyAlignment="1">
      <alignment horizontal="center"/>
    </xf>
    <xf numFmtId="164" fontId="80" fillId="0" borderId="4" xfId="0" applyNumberFormat="1" applyFont="1" applyBorder="1" applyAlignment="1">
      <alignment horizontal="center"/>
    </xf>
    <xf numFmtId="164" fontId="80" fillId="0" borderId="0" xfId="0" applyNumberFormat="1" applyFont="1" applyAlignment="1">
      <alignment horizontal="center"/>
    </xf>
    <xf numFmtId="164" fontId="80" fillId="0" borderId="6" xfId="0" applyNumberFormat="1" applyFont="1" applyBorder="1" applyAlignment="1">
      <alignment horizontal="center"/>
    </xf>
    <xf numFmtId="164" fontId="31" fillId="0" borderId="10" xfId="0" applyNumberFormat="1" applyFont="1" applyBorder="1" applyAlignment="1">
      <alignment horizontal="center"/>
    </xf>
    <xf numFmtId="164" fontId="63" fillId="0" borderId="1" xfId="0" applyNumberFormat="1" applyFont="1" applyBorder="1" applyAlignment="1">
      <alignment horizontal="center"/>
    </xf>
    <xf numFmtId="0" fontId="48" fillId="0" borderId="10" xfId="0" applyFont="1" applyBorder="1" applyAlignment="1">
      <alignment horizontal="center"/>
    </xf>
    <xf numFmtId="164" fontId="20" fillId="0" borderId="6" xfId="0" applyNumberFormat="1" applyFont="1" applyBorder="1" applyAlignment="1">
      <alignment horizontal="center"/>
    </xf>
    <xf numFmtId="164" fontId="20" fillId="0" borderId="1" xfId="0" applyNumberFormat="1" applyFont="1" applyBorder="1" applyAlignment="1">
      <alignment horizontal="center"/>
    </xf>
    <xf numFmtId="164" fontId="3" fillId="0" borderId="11" xfId="0" applyNumberFormat="1" applyFont="1" applyBorder="1" applyAlignment="1">
      <alignment horizontal="center"/>
    </xf>
    <xf numFmtId="164" fontId="34" fillId="0" borderId="0" xfId="0" applyNumberFormat="1" applyFont="1" applyAlignment="1">
      <alignment horizontal="center"/>
    </xf>
    <xf numFmtId="164" fontId="41" fillId="0" borderId="9" xfId="0" applyNumberFormat="1" applyFont="1" applyBorder="1" applyAlignment="1">
      <alignment horizontal="center"/>
    </xf>
    <xf numFmtId="164" fontId="41" fillId="0" borderId="2" xfId="0" applyNumberFormat="1" applyFont="1" applyBorder="1" applyAlignment="1">
      <alignment horizontal="center"/>
    </xf>
    <xf numFmtId="164" fontId="41" fillId="0" borderId="3" xfId="0" applyNumberFormat="1" applyFont="1" applyBorder="1" applyAlignment="1">
      <alignment horizontal="center"/>
    </xf>
    <xf numFmtId="164" fontId="41" fillId="0" borderId="0" xfId="0" applyNumberFormat="1" applyFont="1" applyAlignment="1">
      <alignment horizontal="center"/>
    </xf>
    <xf numFmtId="164" fontId="34" fillId="0" borderId="1" xfId="0" applyNumberFormat="1" applyFont="1" applyBorder="1" applyAlignment="1">
      <alignment horizontal="center"/>
    </xf>
    <xf numFmtId="4" fontId="23" fillId="0" borderId="2" xfId="0" applyNumberFormat="1" applyFont="1" applyBorder="1" applyAlignment="1">
      <alignment horizontal="center"/>
    </xf>
    <xf numFmtId="1" fontId="22" fillId="0" borderId="9" xfId="0" applyNumberFormat="1" applyFont="1" applyBorder="1" applyAlignment="1">
      <alignment horizontal="center"/>
    </xf>
    <xf numFmtId="164" fontId="23" fillId="0" borderId="9" xfId="0" applyNumberFormat="1" applyFont="1" applyBorder="1" applyAlignment="1">
      <alignment horizontal="center"/>
    </xf>
    <xf numFmtId="0" fontId="7" fillId="0" borderId="0" xfId="0" applyFont="1"/>
    <xf numFmtId="4" fontId="7" fillId="0" borderId="0" xfId="0" applyNumberFormat="1" applyFont="1" applyAlignment="1">
      <alignment horizontal="center"/>
    </xf>
    <xf numFmtId="0" fontId="3" fillId="0" borderId="12" xfId="0" applyFont="1" applyBorder="1"/>
    <xf numFmtId="165" fontId="7" fillId="0" borderId="0" xfId="0" applyNumberFormat="1" applyFont="1" applyAlignment="1">
      <alignment horizontal="center"/>
    </xf>
    <xf numFmtId="10" fontId="7" fillId="6" borderId="0" xfId="0" applyNumberFormat="1" applyFont="1" applyFill="1" applyAlignment="1">
      <alignment horizontal="center"/>
    </xf>
    <xf numFmtId="164" fontId="2" fillId="0" borderId="10" xfId="0" applyNumberFormat="1" applyFont="1" applyBorder="1" applyAlignment="1">
      <alignment horizontal="center"/>
    </xf>
    <xf numFmtId="166" fontId="23" fillId="0" borderId="2" xfId="0" applyNumberFormat="1" applyFont="1" applyBorder="1" applyAlignment="1">
      <alignment horizontal="center"/>
    </xf>
    <xf numFmtId="169" fontId="23" fillId="0" borderId="2" xfId="0" applyNumberFormat="1" applyFont="1" applyBorder="1" applyAlignment="1">
      <alignment horizontal="center"/>
    </xf>
    <xf numFmtId="167" fontId="39" fillId="0" borderId="4" xfId="0" applyNumberFormat="1" applyFont="1" applyBorder="1" applyAlignment="1">
      <alignment horizontal="center"/>
    </xf>
    <xf numFmtId="3" fontId="39" fillId="0" borderId="4" xfId="0" applyNumberFormat="1" applyFont="1" applyBorder="1" applyAlignment="1">
      <alignment horizontal="center"/>
    </xf>
    <xf numFmtId="164" fontId="39" fillId="0" borderId="4" xfId="0" applyNumberFormat="1" applyFont="1" applyBorder="1" applyAlignment="1">
      <alignment horizontal="center"/>
    </xf>
    <xf numFmtId="0" fontId="38" fillId="0" borderId="0" xfId="0" applyFont="1" applyAlignment="1">
      <alignment horizontal="center"/>
    </xf>
    <xf numFmtId="164" fontId="39" fillId="0" borderId="3" xfId="0" applyNumberFormat="1" applyFont="1" applyBorder="1" applyAlignment="1">
      <alignment horizontal="center"/>
    </xf>
    <xf numFmtId="1" fontId="39" fillId="0" borderId="5" xfId="0" applyNumberFormat="1" applyFont="1" applyBorder="1" applyAlignment="1">
      <alignment horizontal="center"/>
    </xf>
    <xf numFmtId="167" fontId="39" fillId="0" borderId="5" xfId="0" applyNumberFormat="1" applyFont="1" applyBorder="1" applyAlignment="1">
      <alignment horizontal="center"/>
    </xf>
    <xf numFmtId="3" fontId="39" fillId="0" borderId="5" xfId="0" applyNumberFormat="1" applyFont="1" applyBorder="1" applyAlignment="1">
      <alignment horizontal="center"/>
    </xf>
    <xf numFmtId="0" fontId="38" fillId="0" borderId="1" xfId="0" applyFont="1" applyBorder="1" applyAlignment="1">
      <alignment horizontal="center"/>
    </xf>
    <xf numFmtId="164" fontId="39" fillId="0" borderId="10" xfId="0" applyNumberFormat="1" applyFont="1" applyBorder="1" applyAlignment="1">
      <alignment horizontal="center"/>
    </xf>
    <xf numFmtId="165" fontId="33" fillId="6" borderId="2" xfId="0" applyNumberFormat="1" applyFont="1" applyFill="1" applyBorder="1" applyAlignment="1">
      <alignment horizontal="center"/>
    </xf>
    <xf numFmtId="1" fontId="33" fillId="0" borderId="9" xfId="0" applyNumberFormat="1" applyFont="1" applyBorder="1" applyAlignment="1">
      <alignment horizontal="center"/>
    </xf>
    <xf numFmtId="10" fontId="33" fillId="6" borderId="2" xfId="0" applyNumberFormat="1" applyFont="1" applyFill="1" applyBorder="1" applyAlignment="1">
      <alignment horizontal="center"/>
    </xf>
    <xf numFmtId="164" fontId="32" fillId="0" borderId="9" xfId="0" applyNumberFormat="1" applyFont="1" applyBorder="1" applyAlignment="1">
      <alignment horizontal="center"/>
    </xf>
    <xf numFmtId="164" fontId="32" fillId="6" borderId="2" xfId="0" applyNumberFormat="1" applyFont="1" applyFill="1" applyBorder="1" applyAlignment="1">
      <alignment horizontal="center"/>
    </xf>
    <xf numFmtId="2" fontId="66" fillId="8" borderId="0" xfId="0" applyNumberFormat="1" applyFont="1" applyFill="1" applyAlignment="1">
      <alignment horizontal="center"/>
    </xf>
    <xf numFmtId="164" fontId="3" fillId="0" borderId="0" xfId="0" applyNumberFormat="1" applyFont="1" applyAlignment="1">
      <alignment horizontal="center"/>
    </xf>
    <xf numFmtId="164" fontId="25" fillId="0" borderId="7" xfId="0" applyNumberFormat="1" applyFont="1" applyBorder="1" applyAlignment="1">
      <alignment horizontal="center"/>
    </xf>
    <xf numFmtId="164" fontId="25" fillId="0" borderId="6" xfId="0" applyNumberFormat="1" applyFont="1" applyBorder="1" applyAlignment="1">
      <alignment horizontal="center"/>
    </xf>
    <xf numFmtId="164" fontId="40" fillId="0" borderId="7" xfId="0" applyNumberFormat="1" applyFont="1" applyBorder="1" applyAlignment="1">
      <alignment horizontal="center"/>
    </xf>
    <xf numFmtId="164" fontId="34" fillId="0" borderId="11" xfId="0" applyNumberFormat="1" applyFont="1" applyBorder="1" applyAlignment="1">
      <alignment horizontal="center"/>
    </xf>
    <xf numFmtId="164" fontId="51" fillId="0" borderId="11" xfId="0" applyNumberFormat="1" applyFont="1" applyBorder="1" applyAlignment="1">
      <alignment horizontal="center"/>
    </xf>
    <xf numFmtId="164" fontId="38" fillId="0" borderId="6" xfId="0" applyNumberFormat="1" applyFont="1" applyBorder="1" applyAlignment="1">
      <alignment horizontal="center"/>
    </xf>
    <xf numFmtId="164" fontId="25" fillId="0" borderId="11" xfId="0" applyNumberFormat="1" applyFont="1" applyBorder="1" applyAlignment="1">
      <alignment horizontal="center"/>
    </xf>
    <xf numFmtId="164" fontId="34" fillId="0" borderId="6" xfId="0" applyNumberFormat="1" applyFont="1" applyBorder="1" applyAlignment="1">
      <alignment horizontal="center"/>
    </xf>
    <xf numFmtId="164" fontId="40" fillId="0" borderId="6" xfId="0" applyNumberFormat="1" applyFont="1" applyBorder="1" applyAlignment="1">
      <alignment horizontal="center"/>
    </xf>
    <xf numFmtId="164" fontId="44" fillId="0" borderId="7" xfId="0" applyNumberFormat="1" applyFont="1" applyBorder="1" applyAlignment="1">
      <alignment horizontal="center"/>
    </xf>
    <xf numFmtId="164" fontId="40" fillId="0" borderId="11" xfId="0" applyNumberFormat="1" applyFont="1" applyBorder="1" applyAlignment="1">
      <alignment horizontal="center"/>
    </xf>
    <xf numFmtId="164" fontId="48" fillId="0" borderId="6" xfId="0" applyNumberFormat="1" applyFont="1" applyBorder="1" applyAlignment="1">
      <alignment horizontal="center"/>
    </xf>
    <xf numFmtId="164" fontId="81" fillId="0" borderId="0" xfId="0" applyNumberFormat="1" applyFont="1" applyAlignment="1">
      <alignment horizontal="center"/>
    </xf>
    <xf numFmtId="164" fontId="79" fillId="0" borderId="6" xfId="0" applyNumberFormat="1" applyFont="1" applyBorder="1" applyAlignment="1">
      <alignment horizontal="center"/>
    </xf>
    <xf numFmtId="164" fontId="3" fillId="0" borderId="7" xfId="0" applyNumberFormat="1" applyFont="1" applyBorder="1" applyAlignment="1">
      <alignment horizontal="center"/>
    </xf>
    <xf numFmtId="164" fontId="75" fillId="0" borderId="3" xfId="0" applyNumberFormat="1" applyFont="1" applyBorder="1" applyAlignment="1">
      <alignment horizontal="center"/>
    </xf>
    <xf numFmtId="164" fontId="3" fillId="8" borderId="4" xfId="0" applyNumberFormat="1" applyFont="1" applyFill="1" applyBorder="1" applyAlignment="1">
      <alignment horizontal="center"/>
    </xf>
    <xf numFmtId="164" fontId="7" fillId="9" borderId="4" xfId="0" applyNumberFormat="1" applyFont="1" applyFill="1" applyBorder="1" applyAlignment="1">
      <alignment horizontal="center"/>
    </xf>
    <xf numFmtId="2" fontId="60" fillId="8" borderId="0" xfId="0" applyNumberFormat="1" applyFont="1" applyFill="1" applyAlignment="1">
      <alignment horizontal="center"/>
    </xf>
    <xf numFmtId="0" fontId="3" fillId="8" borderId="4" xfId="0" applyFont="1" applyFill="1" applyBorder="1" applyAlignment="1">
      <alignment horizontal="center" wrapText="1"/>
    </xf>
    <xf numFmtId="0" fontId="58" fillId="0" borderId="0" xfId="0" applyFont="1" applyAlignment="1">
      <alignment horizontal="center"/>
    </xf>
    <xf numFmtId="0" fontId="58" fillId="0" borderId="1" xfId="0" applyFont="1" applyBorder="1"/>
    <xf numFmtId="0" fontId="58" fillId="0" borderId="0" xfId="0" applyFont="1"/>
    <xf numFmtId="0" fontId="61" fillId="0" borderId="0" xfId="0" quotePrefix="1" applyFont="1"/>
    <xf numFmtId="0" fontId="45" fillId="0" borderId="4" xfId="0" applyFont="1" applyBorder="1" applyAlignment="1">
      <alignment horizontal="left"/>
    </xf>
    <xf numFmtId="164" fontId="45" fillId="0" borderId="8" xfId="0" applyNumberFormat="1" applyFont="1" applyBorder="1" applyAlignment="1">
      <alignment horizontal="left"/>
    </xf>
    <xf numFmtId="0" fontId="45" fillId="0" borderId="5" xfId="0" applyFont="1" applyBorder="1" applyAlignment="1">
      <alignment horizontal="left"/>
    </xf>
    <xf numFmtId="164" fontId="45" fillId="0" borderId="6" xfId="0" applyNumberFormat="1" applyFont="1" applyBorder="1" applyAlignment="1">
      <alignment horizontal="left"/>
    </xf>
    <xf numFmtId="164" fontId="45" fillId="0" borderId="4" xfId="0" applyNumberFormat="1" applyFont="1" applyBorder="1" applyAlignment="1">
      <alignment horizontal="left"/>
    </xf>
    <xf numFmtId="164" fontId="47" fillId="0" borderId="5" xfId="0" applyNumberFormat="1" applyFont="1" applyBorder="1" applyAlignment="1">
      <alignment horizontal="left"/>
    </xf>
    <xf numFmtId="0" fontId="52" fillId="0" borderId="6" xfId="0" applyFont="1" applyBorder="1" applyAlignment="1">
      <alignment horizontal="left"/>
    </xf>
    <xf numFmtId="164" fontId="52" fillId="0" borderId="4" xfId="0" applyNumberFormat="1" applyFont="1" applyBorder="1" applyAlignment="1">
      <alignment horizontal="left"/>
    </xf>
    <xf numFmtId="164" fontId="52" fillId="0" borderId="5" xfId="0" applyNumberFormat="1" applyFont="1" applyBorder="1" applyAlignment="1">
      <alignment horizontal="left"/>
    </xf>
    <xf numFmtId="0" fontId="45" fillId="0" borderId="11" xfId="0" applyFont="1" applyBorder="1" applyAlignment="1">
      <alignment horizontal="left"/>
    </xf>
    <xf numFmtId="0" fontId="45" fillId="0" borderId="7" xfId="0" applyFont="1" applyBorder="1" applyAlignment="1">
      <alignment horizontal="left"/>
    </xf>
    <xf numFmtId="0" fontId="45" fillId="0" borderId="6" xfId="0" applyFont="1" applyBorder="1" applyAlignment="1">
      <alignment horizontal="left"/>
    </xf>
    <xf numFmtId="0" fontId="52" fillId="0" borderId="8" xfId="0" applyFont="1" applyBorder="1" applyAlignment="1">
      <alignment horizontal="left"/>
    </xf>
    <xf numFmtId="0" fontId="45" fillId="0" borderId="8" xfId="0" applyFont="1" applyBorder="1" applyAlignment="1">
      <alignment horizontal="left"/>
    </xf>
    <xf numFmtId="164" fontId="47" fillId="0" borderId="8" xfId="0" applyNumberFormat="1" applyFont="1" applyBorder="1" applyAlignment="1">
      <alignment horizontal="left"/>
    </xf>
    <xf numFmtId="0" fontId="84" fillId="0" borderId="0" xfId="0" applyFont="1" applyAlignment="1">
      <alignment horizontal="right"/>
    </xf>
    <xf numFmtId="164" fontId="86" fillId="0" borderId="0" xfId="0" applyNumberFormat="1" applyFont="1" applyAlignment="1">
      <alignment horizontal="center"/>
    </xf>
    <xf numFmtId="164" fontId="86" fillId="0" borderId="1" xfId="0" applyNumberFormat="1" applyFont="1" applyBorder="1" applyAlignment="1">
      <alignment horizontal="center"/>
    </xf>
    <xf numFmtId="164" fontId="84" fillId="0" borderId="0" xfId="0" applyNumberFormat="1" applyFont="1" applyAlignment="1">
      <alignment horizontal="right"/>
    </xf>
    <xf numFmtId="0" fontId="7" fillId="0" borderId="2" xfId="0" applyFont="1" applyBorder="1"/>
    <xf numFmtId="0" fontId="3" fillId="0" borderId="0" xfId="0" applyFont="1" applyAlignment="1">
      <alignment horizontal="right"/>
    </xf>
    <xf numFmtId="0" fontId="48" fillId="0" borderId="2" xfId="0" applyFont="1" applyBorder="1" applyAlignment="1">
      <alignment horizontal="center"/>
    </xf>
    <xf numFmtId="0" fontId="22" fillId="0" borderId="4" xfId="0" applyFont="1" applyBorder="1" applyAlignment="1">
      <alignment horizontal="center"/>
    </xf>
    <xf numFmtId="0" fontId="33" fillId="0" borderId="4" xfId="0" applyFont="1" applyBorder="1" applyAlignment="1">
      <alignment horizontal="center"/>
    </xf>
    <xf numFmtId="44" fontId="33" fillId="0" borderId="4" xfId="0" applyNumberFormat="1" applyFont="1" applyBorder="1" applyAlignment="1">
      <alignment horizontal="center"/>
    </xf>
    <xf numFmtId="0" fontId="87" fillId="0" borderId="0" xfId="0" applyFont="1" applyAlignment="1">
      <alignment horizontal="left"/>
    </xf>
    <xf numFmtId="0" fontId="34" fillId="0" borderId="0" xfId="0" applyFont="1" applyAlignment="1">
      <alignment horizontal="right"/>
    </xf>
    <xf numFmtId="4" fontId="7" fillId="0" borderId="2" xfId="0" applyNumberFormat="1" applyFont="1" applyBorder="1" applyAlignment="1">
      <alignment horizontal="center"/>
    </xf>
    <xf numFmtId="164" fontId="44" fillId="0" borderId="6" xfId="0" applyNumberFormat="1" applyFont="1" applyBorder="1" applyAlignment="1">
      <alignment horizontal="center"/>
    </xf>
    <xf numFmtId="164" fontId="20" fillId="0" borderId="0" xfId="0" applyNumberFormat="1" applyFont="1" applyAlignment="1">
      <alignment horizontal="center"/>
    </xf>
    <xf numFmtId="164" fontId="3" fillId="0" borderId="6" xfId="0" applyNumberFormat="1" applyFont="1" applyBorder="1" applyAlignment="1">
      <alignment horizontal="center"/>
    </xf>
    <xf numFmtId="0" fontId="36" fillId="0" borderId="0" xfId="0" applyFont="1" applyAlignment="1">
      <alignment horizontal="left"/>
    </xf>
    <xf numFmtId="0" fontId="36" fillId="0" borderId="1" xfId="0" applyFont="1" applyBorder="1" applyAlignment="1">
      <alignment horizontal="left"/>
    </xf>
    <xf numFmtId="0" fontId="7" fillId="0" borderId="0" xfId="0" applyFont="1" applyAlignment="1">
      <alignment horizontal="left"/>
    </xf>
    <xf numFmtId="0" fontId="32" fillId="0" borderId="1" xfId="0" applyFont="1" applyBorder="1"/>
    <xf numFmtId="0" fontId="82" fillId="0" borderId="0" xfId="0" applyFont="1" applyAlignment="1">
      <alignment horizontal="left"/>
    </xf>
    <xf numFmtId="0" fontId="23" fillId="0" borderId="2" xfId="0" applyFont="1" applyBorder="1"/>
    <xf numFmtId="3" fontId="33" fillId="0" borderId="3" xfId="0" applyNumberFormat="1" applyFont="1" applyBorder="1" applyAlignment="1">
      <alignment horizontal="center"/>
    </xf>
    <xf numFmtId="164" fontId="34" fillId="0" borderId="7" xfId="0" applyNumberFormat="1" applyFont="1" applyBorder="1" applyAlignment="1">
      <alignment horizontal="center"/>
    </xf>
    <xf numFmtId="0" fontId="34" fillId="0" borderId="2" xfId="0" applyFont="1" applyBorder="1" applyAlignment="1">
      <alignment horizontal="center"/>
    </xf>
    <xf numFmtId="164" fontId="3" fillId="8" borderId="0" xfId="0" applyNumberFormat="1" applyFont="1" applyFill="1" applyAlignment="1">
      <alignment horizontal="center"/>
    </xf>
    <xf numFmtId="0" fontId="2" fillId="8" borderId="6" xfId="0" applyFont="1" applyFill="1" applyBorder="1" applyAlignment="1">
      <alignment horizontal="center"/>
    </xf>
    <xf numFmtId="1" fontId="32" fillId="0" borderId="3" xfId="0" applyNumberFormat="1" applyFont="1" applyBorder="1" applyAlignment="1">
      <alignment horizontal="center"/>
    </xf>
    <xf numFmtId="1" fontId="23" fillId="0" borderId="3" xfId="0" applyNumberFormat="1" applyFont="1" applyBorder="1" applyAlignment="1">
      <alignment horizontal="center"/>
    </xf>
    <xf numFmtId="164" fontId="88" fillId="0" borderId="4" xfId="0" applyNumberFormat="1" applyFont="1" applyBorder="1" applyAlignment="1">
      <alignment horizontal="left"/>
    </xf>
    <xf numFmtId="164" fontId="25" fillId="0" borderId="1" xfId="0" applyNumberFormat="1" applyFont="1" applyBorder="1" applyAlignment="1">
      <alignment horizontal="center"/>
    </xf>
    <xf numFmtId="1" fontId="88" fillId="0" borderId="3" xfId="0" applyNumberFormat="1" applyFont="1" applyBorder="1" applyAlignment="1">
      <alignment horizontal="right"/>
    </xf>
    <xf numFmtId="1" fontId="89" fillId="0" borderId="4" xfId="0" applyNumberFormat="1" applyFont="1" applyBorder="1" applyAlignment="1">
      <alignment horizontal="center"/>
    </xf>
    <xf numFmtId="164" fontId="2" fillId="0" borderId="6" xfId="0" applyNumberFormat="1" applyFont="1" applyBorder="1" applyAlignment="1">
      <alignment horizontal="center"/>
    </xf>
    <xf numFmtId="1" fontId="39" fillId="0" borderId="10" xfId="0" applyNumberFormat="1" applyFont="1" applyBorder="1" applyAlignment="1">
      <alignment horizontal="left"/>
    </xf>
    <xf numFmtId="1" fontId="39" fillId="0" borderId="3" xfId="0" applyNumberFormat="1" applyFont="1" applyBorder="1" applyAlignment="1">
      <alignment horizontal="left"/>
    </xf>
    <xf numFmtId="1" fontId="33" fillId="0" borderId="10" xfId="0" applyNumberFormat="1" applyFont="1" applyBorder="1" applyAlignment="1">
      <alignment horizontal="left"/>
    </xf>
    <xf numFmtId="1" fontId="22" fillId="0" borderId="3" xfId="0" applyNumberFormat="1" applyFont="1" applyBorder="1" applyAlignment="1">
      <alignment horizontal="left"/>
    </xf>
    <xf numFmtId="1" fontId="22" fillId="0" borderId="10" xfId="0" applyNumberFormat="1" applyFont="1" applyBorder="1" applyAlignment="1">
      <alignment horizontal="left"/>
    </xf>
    <xf numFmtId="0" fontId="34" fillId="0" borderId="3" xfId="0" applyFont="1" applyBorder="1"/>
    <xf numFmtId="1" fontId="36" fillId="0" borderId="1" xfId="0" applyNumberFormat="1" applyFont="1" applyBorder="1"/>
    <xf numFmtId="165" fontId="36" fillId="0" borderId="1" xfId="0" applyNumberFormat="1" applyFont="1" applyBorder="1" applyAlignment="1">
      <alignment horizontal="center"/>
    </xf>
    <xf numFmtId="2" fontId="22" fillId="0" borderId="4" xfId="0" applyNumberFormat="1" applyFont="1" applyBorder="1" applyAlignment="1">
      <alignment horizontal="center"/>
    </xf>
    <xf numFmtId="0" fontId="90" fillId="0" borderId="0" xfId="0" applyFont="1"/>
    <xf numFmtId="1" fontId="91" fillId="0" borderId="3" xfId="0" applyNumberFormat="1" applyFont="1" applyBorder="1" applyAlignment="1">
      <alignment horizontal="left"/>
    </xf>
    <xf numFmtId="1" fontId="91" fillId="0" borderId="0" xfId="0" applyNumberFormat="1" applyFont="1" applyAlignment="1">
      <alignment horizontal="center"/>
    </xf>
    <xf numFmtId="164" fontId="91" fillId="0" borderId="0" xfId="0" applyNumberFormat="1" applyFont="1" applyAlignment="1">
      <alignment horizontal="center"/>
    </xf>
    <xf numFmtId="164" fontId="90" fillId="0" borderId="0" xfId="0" applyNumberFormat="1" applyFont="1" applyAlignment="1">
      <alignment horizontal="center"/>
    </xf>
    <xf numFmtId="49" fontId="91" fillId="0" borderId="0" xfId="0" applyNumberFormat="1" applyFont="1" applyAlignment="1">
      <alignment horizontal="center"/>
    </xf>
    <xf numFmtId="1" fontId="90" fillId="0" borderId="0" xfId="0" applyNumberFormat="1" applyFont="1" applyAlignment="1">
      <alignment horizontal="center"/>
    </xf>
    <xf numFmtId="4" fontId="90" fillId="0" borderId="0" xfId="0" applyNumberFormat="1" applyFont="1" applyAlignment="1">
      <alignment horizontal="center"/>
    </xf>
    <xf numFmtId="165" fontId="91" fillId="6" borderId="2" xfId="0" applyNumberFormat="1" applyFont="1" applyFill="1" applyBorder="1" applyAlignment="1">
      <alignment horizontal="center"/>
    </xf>
    <xf numFmtId="10" fontId="90" fillId="0" borderId="0" xfId="0" applyNumberFormat="1" applyFont="1" applyAlignment="1">
      <alignment horizontal="center"/>
    </xf>
    <xf numFmtId="1" fontId="91" fillId="0" borderId="3" xfId="0" applyNumberFormat="1" applyFont="1" applyBorder="1" applyAlignment="1">
      <alignment horizontal="center"/>
    </xf>
    <xf numFmtId="169" fontId="90" fillId="0" borderId="0" xfId="0" applyNumberFormat="1" applyFont="1" applyAlignment="1">
      <alignment horizontal="center"/>
    </xf>
    <xf numFmtId="10" fontId="91" fillId="6" borderId="2" xfId="0" applyNumberFormat="1" applyFont="1" applyFill="1" applyBorder="1" applyAlignment="1">
      <alignment horizontal="center"/>
    </xf>
    <xf numFmtId="2" fontId="90" fillId="0" borderId="0" xfId="0" applyNumberFormat="1" applyFont="1" applyAlignment="1">
      <alignment horizontal="center"/>
    </xf>
    <xf numFmtId="10" fontId="91" fillId="6" borderId="0" xfId="0" applyNumberFormat="1" applyFont="1" applyFill="1" applyAlignment="1">
      <alignment horizontal="center"/>
    </xf>
    <xf numFmtId="164" fontId="90" fillId="6" borderId="2" xfId="0" applyNumberFormat="1" applyFont="1" applyFill="1" applyBorder="1" applyAlignment="1">
      <alignment horizontal="center"/>
    </xf>
    <xf numFmtId="0" fontId="93" fillId="0" borderId="0" xfId="0" applyFont="1"/>
    <xf numFmtId="0" fontId="93" fillId="0" borderId="0" xfId="0" applyFont="1" applyAlignment="1">
      <alignment horizontal="right"/>
    </xf>
    <xf numFmtId="0" fontId="94" fillId="8" borderId="0" xfId="0" applyFont="1" applyFill="1" applyAlignment="1">
      <alignment horizontal="center"/>
    </xf>
    <xf numFmtId="0" fontId="94" fillId="8" borderId="3" xfId="0" applyFont="1" applyFill="1" applyBorder="1" applyAlignment="1">
      <alignment horizontal="center"/>
    </xf>
    <xf numFmtId="2" fontId="24" fillId="0" borderId="2" xfId="0" applyNumberFormat="1" applyFont="1" applyBorder="1" applyAlignment="1">
      <alignment horizontal="center"/>
    </xf>
    <xf numFmtId="2" fontId="15" fillId="0" borderId="0" xfId="0" applyNumberFormat="1" applyFont="1" applyAlignment="1">
      <alignment horizontal="center"/>
    </xf>
    <xf numFmtId="2" fontId="24" fillId="0" borderId="5" xfId="0" applyNumberFormat="1" applyFont="1" applyBorder="1" applyAlignment="1">
      <alignment horizontal="center"/>
    </xf>
    <xf numFmtId="2" fontId="24" fillId="0" borderId="8" xfId="0" applyNumberFormat="1" applyFont="1" applyBorder="1" applyAlignment="1">
      <alignment horizontal="center"/>
    </xf>
    <xf numFmtId="2" fontId="33" fillId="0" borderId="8" xfId="0" applyNumberFormat="1" applyFont="1" applyBorder="1" applyAlignment="1">
      <alignment horizontal="center"/>
    </xf>
    <xf numFmtId="2" fontId="39" fillId="0" borderId="4" xfId="0" applyNumberFormat="1" applyFont="1" applyBorder="1" applyAlignment="1">
      <alignment horizontal="center"/>
    </xf>
    <xf numFmtId="2" fontId="33" fillId="0" borderId="5" xfId="0" applyNumberFormat="1" applyFont="1" applyBorder="1" applyAlignment="1">
      <alignment horizontal="center"/>
    </xf>
    <xf numFmtId="2" fontId="39" fillId="0" borderId="5" xfId="0" applyNumberFormat="1" applyFont="1" applyBorder="1" applyAlignment="1">
      <alignment horizontal="center"/>
    </xf>
    <xf numFmtId="2" fontId="6" fillId="0" borderId="8" xfId="0" applyNumberFormat="1" applyFont="1" applyBorder="1" applyAlignment="1">
      <alignment horizontal="center"/>
    </xf>
    <xf numFmtId="2" fontId="6" fillId="0" borderId="5" xfId="0" applyNumberFormat="1" applyFont="1" applyBorder="1" applyAlignment="1">
      <alignment horizontal="center"/>
    </xf>
    <xf numFmtId="2" fontId="22" fillId="0" borderId="5" xfId="0" applyNumberFormat="1" applyFont="1" applyBorder="1" applyAlignment="1">
      <alignment horizontal="center"/>
    </xf>
    <xf numFmtId="2" fontId="22" fillId="0" borderId="8" xfId="0" applyNumberFormat="1" applyFont="1" applyBorder="1" applyAlignment="1">
      <alignment horizontal="center"/>
    </xf>
    <xf numFmtId="2" fontId="80" fillId="0" borderId="4" xfId="0" applyNumberFormat="1" applyFont="1" applyBorder="1" applyAlignment="1">
      <alignment horizontal="center"/>
    </xf>
    <xf numFmtId="164" fontId="3" fillId="0" borderId="4" xfId="0" applyNumberFormat="1" applyFont="1" applyBorder="1" applyAlignment="1">
      <alignment horizontal="center"/>
    </xf>
    <xf numFmtId="0" fontId="3" fillId="0" borderId="8" xfId="0" applyFont="1" applyBorder="1"/>
    <xf numFmtId="0" fontId="51" fillId="0" borderId="1" xfId="0" applyFont="1" applyBorder="1" applyAlignment="1">
      <alignment horizontal="center"/>
    </xf>
    <xf numFmtId="167" fontId="6" fillId="0" borderId="9" xfId="0" applyNumberFormat="1" applyFont="1" applyBorder="1" applyAlignment="1">
      <alignment horizontal="center"/>
    </xf>
    <xf numFmtId="167" fontId="6" fillId="0" borderId="3" xfId="0" applyNumberFormat="1" applyFont="1" applyBorder="1" applyAlignment="1">
      <alignment horizontal="center"/>
    </xf>
    <xf numFmtId="2" fontId="6" fillId="0" borderId="3" xfId="0" applyNumberFormat="1" applyFont="1" applyBorder="1" applyAlignment="1">
      <alignment horizontal="center"/>
    </xf>
    <xf numFmtId="2" fontId="6" fillId="0" borderId="9" xfId="0" applyNumberFormat="1" applyFont="1" applyBorder="1" applyAlignment="1">
      <alignment horizontal="center"/>
    </xf>
    <xf numFmtId="3" fontId="6" fillId="0" borderId="9" xfId="0" applyNumberFormat="1" applyFont="1" applyBorder="1" applyAlignment="1">
      <alignment horizontal="center"/>
    </xf>
    <xf numFmtId="0" fontId="2" fillId="0" borderId="9" xfId="0" applyFont="1" applyBorder="1" applyAlignment="1">
      <alignment horizontal="center"/>
    </xf>
    <xf numFmtId="167" fontId="22" fillId="0" borderId="10" xfId="0" applyNumberFormat="1" applyFont="1" applyBorder="1" applyAlignment="1">
      <alignment horizontal="center"/>
    </xf>
    <xf numFmtId="2" fontId="22" fillId="0" borderId="10" xfId="0" applyNumberFormat="1" applyFont="1" applyBorder="1" applyAlignment="1">
      <alignment horizontal="center"/>
    </xf>
    <xf numFmtId="0" fontId="35" fillId="0" borderId="10" xfId="0" applyFont="1" applyBorder="1" applyAlignment="1">
      <alignment horizontal="center"/>
    </xf>
    <xf numFmtId="0" fontId="57" fillId="0" borderId="23" xfId="0" applyFont="1" applyBorder="1" applyAlignment="1">
      <alignment horizontal="center"/>
    </xf>
    <xf numFmtId="0" fontId="76" fillId="0" borderId="23" xfId="0" applyFont="1" applyBorder="1" applyAlignment="1">
      <alignment horizontal="center"/>
    </xf>
    <xf numFmtId="0" fontId="45" fillId="0" borderId="0" xfId="0" applyFont="1"/>
    <xf numFmtId="9" fontId="3" fillId="0" borderId="0" xfId="0" applyNumberFormat="1" applyFont="1" applyAlignment="1">
      <alignment horizontal="center"/>
    </xf>
    <xf numFmtId="0" fontId="76" fillId="0" borderId="3" xfId="0" applyFont="1" applyBorder="1" applyAlignment="1">
      <alignment horizontal="left"/>
    </xf>
    <xf numFmtId="0" fontId="76" fillId="0" borderId="0" xfId="0" applyFont="1" applyAlignment="1">
      <alignment horizontal="left"/>
    </xf>
    <xf numFmtId="164" fontId="92" fillId="0" borderId="4" xfId="0" applyNumberFormat="1" applyFont="1" applyBorder="1" applyAlignment="1">
      <alignment horizontal="left"/>
    </xf>
    <xf numFmtId="0" fontId="47" fillId="0" borderId="5" xfId="0" applyFont="1" applyBorder="1" applyAlignment="1">
      <alignment horizontal="left"/>
    </xf>
    <xf numFmtId="0" fontId="3" fillId="0" borderId="6" xfId="0" applyFont="1" applyBorder="1" applyAlignment="1">
      <alignment horizontal="center"/>
    </xf>
    <xf numFmtId="164" fontId="25" fillId="0" borderId="2" xfId="0" applyNumberFormat="1" applyFont="1" applyBorder="1" applyAlignment="1">
      <alignment horizontal="center"/>
    </xf>
    <xf numFmtId="0" fontId="47" fillId="0" borderId="4" xfId="0" applyFont="1" applyBorder="1" applyAlignment="1">
      <alignment horizontal="left"/>
    </xf>
    <xf numFmtId="164" fontId="45" fillId="0" borderId="11" xfId="0" applyNumberFormat="1" applyFont="1" applyBorder="1" applyAlignment="1">
      <alignment horizontal="left"/>
    </xf>
    <xf numFmtId="1" fontId="17" fillId="0" borderId="2" xfId="0" applyNumberFormat="1" applyFont="1" applyBorder="1" applyAlignment="1">
      <alignment horizontal="center"/>
    </xf>
    <xf numFmtId="1" fontId="8" fillId="0" borderId="2" xfId="0" applyNumberFormat="1" applyFont="1" applyBorder="1"/>
    <xf numFmtId="165" fontId="8" fillId="0" borderId="2" xfId="0" applyNumberFormat="1" applyFont="1" applyBorder="1" applyAlignment="1">
      <alignment horizontal="center"/>
    </xf>
    <xf numFmtId="164" fontId="8" fillId="0" borderId="9" xfId="0" applyNumberFormat="1" applyFont="1" applyBorder="1" applyAlignment="1">
      <alignment horizontal="center"/>
    </xf>
    <xf numFmtId="0" fontId="7" fillId="0" borderId="2" xfId="0" applyFont="1" applyBorder="1" applyAlignment="1">
      <alignment horizontal="center"/>
    </xf>
    <xf numFmtId="164" fontId="40" fillId="0" borderId="2" xfId="0" applyNumberFormat="1" applyFont="1" applyBorder="1" applyAlignment="1">
      <alignment horizontal="center"/>
    </xf>
    <xf numFmtId="1" fontId="95" fillId="0" borderId="5" xfId="0" applyNumberFormat="1" applyFont="1" applyBorder="1" applyAlignment="1">
      <alignment horizontal="center"/>
    </xf>
    <xf numFmtId="167" fontId="95" fillId="0" borderId="5" xfId="0" applyNumberFormat="1" applyFont="1" applyBorder="1" applyAlignment="1">
      <alignment horizontal="center"/>
    </xf>
    <xf numFmtId="2" fontId="95" fillId="0" borderId="5" xfId="0" applyNumberFormat="1" applyFont="1" applyBorder="1" applyAlignment="1">
      <alignment horizontal="center"/>
    </xf>
    <xf numFmtId="3" fontId="95" fillId="0" borderId="5" xfId="0" applyNumberFormat="1" applyFont="1" applyBorder="1" applyAlignment="1">
      <alignment horizontal="center"/>
    </xf>
    <xf numFmtId="164" fontId="95" fillId="0" borderId="5" xfId="0" applyNumberFormat="1" applyFont="1" applyBorder="1" applyAlignment="1">
      <alignment horizontal="center"/>
    </xf>
    <xf numFmtId="164" fontId="95" fillId="0" borderId="1" xfId="0" applyNumberFormat="1" applyFont="1" applyBorder="1" applyAlignment="1">
      <alignment horizontal="center"/>
    </xf>
    <xf numFmtId="164" fontId="95" fillId="0" borderId="11" xfId="0" applyNumberFormat="1" applyFont="1" applyBorder="1" applyAlignment="1">
      <alignment horizontal="center"/>
    </xf>
    <xf numFmtId="0" fontId="96" fillId="0" borderId="1" xfId="0" applyFont="1" applyBorder="1" applyAlignment="1">
      <alignment horizontal="center"/>
    </xf>
    <xf numFmtId="164" fontId="97" fillId="0" borderId="1" xfId="0" applyNumberFormat="1" applyFont="1" applyBorder="1" applyAlignment="1">
      <alignment horizontal="center"/>
    </xf>
    <xf numFmtId="0" fontId="44" fillId="0" borderId="1" xfId="0" applyFont="1" applyBorder="1" applyAlignment="1">
      <alignment horizontal="center"/>
    </xf>
    <xf numFmtId="164" fontId="40" fillId="0" borderId="1" xfId="0" applyNumberFormat="1" applyFont="1" applyBorder="1" applyAlignment="1">
      <alignment horizontal="center"/>
    </xf>
    <xf numFmtId="0" fontId="99" fillId="8" borderId="0" xfId="0" applyFont="1" applyFill="1" applyAlignment="1">
      <alignment horizontal="center"/>
    </xf>
    <xf numFmtId="0" fontId="100" fillId="0" borderId="0" xfId="0" applyFont="1"/>
    <xf numFmtId="164" fontId="30" fillId="0" borderId="11" xfId="0" applyNumberFormat="1" applyFont="1" applyBorder="1" applyAlignment="1">
      <alignment horizontal="center"/>
    </xf>
    <xf numFmtId="0" fontId="101" fillId="8" borderId="0" xfId="0" applyFont="1" applyFill="1" applyAlignment="1">
      <alignment horizontal="center"/>
    </xf>
    <xf numFmtId="167" fontId="29" fillId="0" borderId="4" xfId="0" applyNumberFormat="1" applyFont="1" applyBorder="1" applyAlignment="1">
      <alignment horizontal="center"/>
    </xf>
    <xf numFmtId="164" fontId="29" fillId="0" borderId="4" xfId="0" applyNumberFormat="1" applyFont="1" applyBorder="1" applyAlignment="1">
      <alignment horizontal="center"/>
    </xf>
    <xf numFmtId="165" fontId="6" fillId="0" borderId="0" xfId="0" applyNumberFormat="1" applyFont="1" applyAlignment="1">
      <alignment horizontal="center"/>
    </xf>
    <xf numFmtId="165" fontId="6" fillId="0" borderId="2" xfId="0" applyNumberFormat="1" applyFont="1" applyBorder="1" applyAlignment="1">
      <alignment horizontal="center"/>
    </xf>
    <xf numFmtId="165" fontId="33" fillId="0" borderId="1" xfId="0" applyNumberFormat="1" applyFont="1" applyBorder="1" applyAlignment="1">
      <alignment horizontal="center"/>
    </xf>
    <xf numFmtId="165" fontId="22" fillId="0" borderId="6" xfId="0" applyNumberFormat="1" applyFont="1" applyBorder="1" applyAlignment="1">
      <alignment horizontal="center"/>
    </xf>
    <xf numFmtId="165" fontId="22" fillId="0" borderId="0" xfId="0" applyNumberFormat="1" applyFont="1" applyAlignment="1">
      <alignment horizontal="center"/>
    </xf>
    <xf numFmtId="165" fontId="22" fillId="0" borderId="1" xfId="0" applyNumberFormat="1" applyFont="1" applyBorder="1" applyAlignment="1">
      <alignment horizontal="center"/>
    </xf>
    <xf numFmtId="165" fontId="91" fillId="0" borderId="0" xfId="0" applyNumberFormat="1" applyFont="1" applyAlignment="1">
      <alignment horizontal="center"/>
    </xf>
    <xf numFmtId="165" fontId="6" fillId="0" borderId="1" xfId="0" applyNumberFormat="1" applyFont="1" applyBorder="1" applyAlignment="1">
      <alignment horizontal="center"/>
    </xf>
    <xf numFmtId="165" fontId="34" fillId="0" borderId="0" xfId="0" applyNumberFormat="1" applyFont="1"/>
    <xf numFmtId="165" fontId="33" fillId="0" borderId="2" xfId="0" applyNumberFormat="1" applyFont="1" applyBorder="1" applyAlignment="1">
      <alignment horizontal="center"/>
    </xf>
    <xf numFmtId="165" fontId="33" fillId="0" borderId="0" xfId="0" applyNumberFormat="1" applyFont="1" applyAlignment="1">
      <alignment horizontal="center"/>
    </xf>
    <xf numFmtId="165" fontId="22" fillId="0" borderId="2" xfId="0" applyNumberFormat="1" applyFont="1" applyBorder="1" applyAlignment="1">
      <alignment horizontal="center"/>
    </xf>
    <xf numFmtId="164" fontId="44" fillId="0" borderId="0" xfId="0" applyNumberFormat="1" applyFont="1" applyAlignment="1">
      <alignment horizontal="center"/>
    </xf>
    <xf numFmtId="0" fontId="93" fillId="0" borderId="0" xfId="0" applyFont="1" applyAlignment="1">
      <alignment horizontal="center"/>
    </xf>
    <xf numFmtId="0" fontId="92" fillId="0" borderId="0" xfId="0" applyFont="1" applyAlignment="1">
      <alignment horizontal="center"/>
    </xf>
    <xf numFmtId="164" fontId="102" fillId="0" borderId="0" xfId="0" applyNumberFormat="1" applyFont="1" applyAlignment="1">
      <alignment horizontal="center"/>
    </xf>
    <xf numFmtId="0" fontId="3" fillId="8" borderId="4" xfId="0" applyFont="1" applyFill="1" applyBorder="1" applyAlignment="1">
      <alignment horizontal="center"/>
    </xf>
    <xf numFmtId="0" fontId="69" fillId="8" borderId="4" xfId="0" applyFont="1" applyFill="1" applyBorder="1" applyAlignment="1">
      <alignment horizontal="center" wrapText="1"/>
    </xf>
    <xf numFmtId="1" fontId="6" fillId="0" borderId="1" xfId="0" applyNumberFormat="1" applyFont="1" applyBorder="1" applyAlignment="1">
      <alignment horizontal="left"/>
    </xf>
    <xf numFmtId="164" fontId="26" fillId="0" borderId="0" xfId="0" applyNumberFormat="1" applyFont="1" applyAlignment="1">
      <alignment horizontal="center"/>
    </xf>
    <xf numFmtId="1" fontId="55" fillId="0" borderId="13" xfId="0" applyNumberFormat="1" applyFont="1" applyBorder="1" applyAlignment="1">
      <alignment horizontal="center"/>
    </xf>
    <xf numFmtId="0" fontId="0" fillId="0" borderId="13" xfId="0" applyBorder="1" applyAlignment="1">
      <alignment horizontal="left"/>
    </xf>
    <xf numFmtId="0" fontId="1" fillId="0" borderId="15" xfId="0" applyFont="1" applyBorder="1"/>
    <xf numFmtId="0" fontId="3" fillId="0" borderId="15" xfId="0" applyFont="1" applyBorder="1"/>
    <xf numFmtId="0" fontId="0" fillId="0" borderId="15" xfId="0" applyBorder="1"/>
    <xf numFmtId="4" fontId="0" fillId="0" borderId="15" xfId="0" applyNumberFormat="1" applyBorder="1" applyAlignment="1">
      <alignment horizontal="center"/>
    </xf>
    <xf numFmtId="164" fontId="4" fillId="0" borderId="15" xfId="0" applyNumberFormat="1" applyFont="1" applyBorder="1" applyAlignment="1">
      <alignment horizontal="center"/>
    </xf>
    <xf numFmtId="0" fontId="2" fillId="0" borderId="14" xfId="0" applyFont="1" applyBorder="1"/>
    <xf numFmtId="10" fontId="27" fillId="0" borderId="0" xfId="0" applyNumberFormat="1" applyFont="1"/>
    <xf numFmtId="1" fontId="54" fillId="0" borderId="13" xfId="0" applyNumberFormat="1" applyFont="1" applyBorder="1" applyAlignment="1">
      <alignment horizontal="center"/>
    </xf>
    <xf numFmtId="1" fontId="54" fillId="0" borderId="15" xfId="0" applyNumberFormat="1" applyFont="1" applyBorder="1" applyAlignment="1">
      <alignment horizontal="center"/>
    </xf>
    <xf numFmtId="1" fontId="6" fillId="9" borderId="15" xfId="0" applyNumberFormat="1" applyFont="1" applyFill="1" applyBorder="1" applyAlignment="1">
      <alignment horizontal="left"/>
    </xf>
    <xf numFmtId="1" fontId="6" fillId="9" borderId="15" xfId="0" applyNumberFormat="1" applyFont="1" applyFill="1" applyBorder="1"/>
    <xf numFmtId="4" fontId="7" fillId="9" borderId="15" xfId="0" applyNumberFormat="1" applyFont="1" applyFill="1" applyBorder="1" applyAlignment="1">
      <alignment horizontal="center"/>
    </xf>
    <xf numFmtId="164" fontId="17" fillId="9" borderId="15" xfId="0" applyNumberFormat="1" applyFont="1" applyFill="1" applyBorder="1" applyAlignment="1">
      <alignment horizontal="center"/>
    </xf>
    <xf numFmtId="1" fontId="6" fillId="9" borderId="14" xfId="0" applyNumberFormat="1" applyFont="1" applyFill="1" applyBorder="1"/>
    <xf numFmtId="1" fontId="61" fillId="0" borderId="0" xfId="0" applyNumberFormat="1" applyFont="1" applyAlignment="1">
      <alignment horizontal="left"/>
    </xf>
    <xf numFmtId="1" fontId="61" fillId="0" borderId="0" xfId="0" applyNumberFormat="1" applyFont="1" applyAlignment="1">
      <alignment horizontal="center"/>
    </xf>
    <xf numFmtId="0" fontId="46" fillId="0" borderId="12" xfId="0" applyFont="1" applyBorder="1" applyAlignment="1">
      <alignment horizontal="center"/>
    </xf>
    <xf numFmtId="1" fontId="6" fillId="0" borderId="0" xfId="0" applyNumberFormat="1" applyFont="1" applyAlignment="1">
      <alignment horizontal="left"/>
    </xf>
    <xf numFmtId="1" fontId="8" fillId="0" borderId="0" xfId="0" applyNumberFormat="1" applyFont="1" applyAlignment="1">
      <alignment horizontal="right"/>
    </xf>
    <xf numFmtId="164" fontId="6" fillId="2" borderId="7" xfId="0" applyNumberFormat="1" applyFont="1" applyFill="1" applyBorder="1" applyAlignment="1">
      <alignment horizontal="left"/>
    </xf>
    <xf numFmtId="164" fontId="9" fillId="5" borderId="3" xfId="0" applyNumberFormat="1" applyFont="1" applyFill="1" applyBorder="1" applyAlignment="1">
      <alignment horizontal="left"/>
    </xf>
    <xf numFmtId="165" fontId="9" fillId="5" borderId="2" xfId="0" applyNumberFormat="1" applyFont="1" applyFill="1" applyBorder="1" applyAlignment="1">
      <alignment horizontal="left"/>
    </xf>
    <xf numFmtId="10" fontId="9" fillId="5" borderId="2" xfId="0" applyNumberFormat="1" applyFont="1" applyFill="1" applyBorder="1" applyAlignment="1">
      <alignment horizontal="left"/>
    </xf>
    <xf numFmtId="165" fontId="8" fillId="5" borderId="8" xfId="0" applyNumberFormat="1" applyFont="1" applyFill="1" applyBorder="1" applyAlignment="1">
      <alignment horizontal="center"/>
    </xf>
    <xf numFmtId="164" fontId="9" fillId="4" borderId="8" xfId="0" applyNumberFormat="1" applyFont="1" applyFill="1" applyBorder="1" applyAlignment="1">
      <alignment horizontal="center"/>
    </xf>
    <xf numFmtId="1" fontId="37" fillId="3" borderId="3" xfId="0" applyNumberFormat="1" applyFont="1" applyFill="1" applyBorder="1" applyAlignment="1">
      <alignment horizontal="center"/>
    </xf>
    <xf numFmtId="1" fontId="6" fillId="2" borderId="9" xfId="0" applyNumberFormat="1" applyFont="1" applyFill="1" applyBorder="1" applyAlignment="1">
      <alignment horizontal="left"/>
    </xf>
    <xf numFmtId="164" fontId="6" fillId="2" borderId="7" xfId="0" applyNumberFormat="1" applyFont="1" applyFill="1" applyBorder="1" applyAlignment="1">
      <alignment horizontal="center"/>
    </xf>
    <xf numFmtId="164" fontId="9" fillId="5" borderId="0" xfId="0" applyNumberFormat="1" applyFont="1" applyFill="1" applyAlignment="1">
      <alignment horizontal="left"/>
    </xf>
    <xf numFmtId="164" fontId="6" fillId="5" borderId="3" xfId="0" applyNumberFormat="1" applyFont="1" applyFill="1" applyBorder="1" applyAlignment="1">
      <alignment horizontal="center"/>
    </xf>
    <xf numFmtId="10" fontId="6" fillId="5" borderId="0" xfId="0" applyNumberFormat="1" applyFont="1" applyFill="1" applyAlignment="1">
      <alignment horizontal="center"/>
    </xf>
    <xf numFmtId="165" fontId="8" fillId="5" borderId="4" xfId="0" applyNumberFormat="1" applyFont="1" applyFill="1" applyBorder="1" applyAlignment="1">
      <alignment horizontal="center"/>
    </xf>
    <xf numFmtId="164" fontId="6" fillId="4" borderId="4" xfId="0" applyNumberFormat="1" applyFont="1" applyFill="1" applyBorder="1" applyAlignment="1">
      <alignment horizontal="center"/>
    </xf>
    <xf numFmtId="164" fontId="6" fillId="4" borderId="3" xfId="0" applyNumberFormat="1" applyFont="1" applyFill="1" applyBorder="1" applyAlignment="1">
      <alignment horizontal="center"/>
    </xf>
    <xf numFmtId="1" fontId="7" fillId="4" borderId="3" xfId="0" applyNumberFormat="1" applyFont="1" applyFill="1" applyBorder="1" applyAlignment="1">
      <alignment horizontal="center"/>
    </xf>
    <xf numFmtId="164" fontId="6" fillId="6" borderId="0" xfId="0" applyNumberFormat="1" applyFont="1" applyFill="1" applyAlignment="1">
      <alignment horizontal="center"/>
    </xf>
    <xf numFmtId="4" fontId="6" fillId="0" borderId="9" xfId="0" applyNumberFormat="1" applyFont="1" applyBorder="1" applyAlignment="1">
      <alignment horizontal="center"/>
    </xf>
    <xf numFmtId="10" fontId="6" fillId="0" borderId="8" xfId="0" applyNumberFormat="1" applyFont="1" applyBorder="1" applyAlignment="1">
      <alignment horizontal="center"/>
    </xf>
    <xf numFmtId="10" fontId="9" fillId="0" borderId="9" xfId="0" applyNumberFormat="1" applyFont="1" applyBorder="1" applyAlignment="1">
      <alignment horizontal="center"/>
    </xf>
    <xf numFmtId="9" fontId="37" fillId="3" borderId="0" xfId="0" applyNumberFormat="1" applyFont="1" applyFill="1" applyAlignment="1">
      <alignment horizontal="center"/>
    </xf>
    <xf numFmtId="1" fontId="20" fillId="2" borderId="3" xfId="0" applyNumberFormat="1" applyFont="1" applyFill="1" applyBorder="1" applyAlignment="1">
      <alignment horizontal="left"/>
    </xf>
    <xf numFmtId="164" fontId="85" fillId="2" borderId="6" xfId="0" applyNumberFormat="1" applyFont="1" applyFill="1" applyBorder="1" applyAlignment="1">
      <alignment horizontal="center"/>
    </xf>
    <xf numFmtId="164" fontId="37" fillId="5" borderId="3" xfId="0" applyNumberFormat="1" applyFont="1" applyFill="1" applyBorder="1" applyAlignment="1">
      <alignment horizontal="left"/>
    </xf>
    <xf numFmtId="1" fontId="6" fillId="5" borderId="0" xfId="0" applyNumberFormat="1" applyFont="1" applyFill="1" applyAlignment="1">
      <alignment horizontal="left"/>
    </xf>
    <xf numFmtId="165" fontId="6" fillId="5" borderId="4" xfId="0" applyNumberFormat="1" applyFont="1" applyFill="1" applyBorder="1" applyAlignment="1">
      <alignment horizontal="center"/>
    </xf>
    <xf numFmtId="164" fontId="7" fillId="4" borderId="4" xfId="0" applyNumberFormat="1" applyFont="1" applyFill="1" applyBorder="1" applyAlignment="1">
      <alignment horizontal="center"/>
    </xf>
    <xf numFmtId="164" fontId="65" fillId="4" borderId="4" xfId="0" applyNumberFormat="1" applyFont="1" applyFill="1" applyBorder="1" applyAlignment="1">
      <alignment horizontal="left"/>
    </xf>
    <xf numFmtId="164" fontId="45" fillId="4" borderId="4" xfId="0" applyNumberFormat="1" applyFont="1" applyFill="1" applyBorder="1" applyAlignment="1">
      <alignment horizontal="center"/>
    </xf>
    <xf numFmtId="164" fontId="62" fillId="4" borderId="3" xfId="0" applyNumberFormat="1" applyFont="1" applyFill="1" applyBorder="1" applyAlignment="1">
      <alignment horizontal="center"/>
    </xf>
    <xf numFmtId="1" fontId="6" fillId="0" borderId="11" xfId="0" applyNumberFormat="1" applyFont="1" applyBorder="1" applyAlignment="1">
      <alignment horizontal="center"/>
    </xf>
    <xf numFmtId="0" fontId="9" fillId="0" borderId="10" xfId="0" applyFont="1" applyBorder="1" applyAlignment="1">
      <alignment horizontal="center"/>
    </xf>
    <xf numFmtId="4" fontId="6" fillId="0" borderId="5" xfId="0" applyNumberFormat="1" applyFont="1" applyBorder="1" applyAlignment="1">
      <alignment horizontal="center"/>
    </xf>
    <xf numFmtId="10" fontId="6" fillId="0" borderId="5" xfId="0" applyNumberFormat="1" applyFont="1" applyBorder="1" applyAlignment="1">
      <alignment horizontal="center"/>
    </xf>
    <xf numFmtId="164" fontId="9" fillId="0" borderId="5" xfId="0" applyNumberFormat="1" applyFont="1" applyBorder="1" applyAlignment="1">
      <alignment horizontal="center"/>
    </xf>
    <xf numFmtId="10" fontId="9" fillId="0" borderId="10" xfId="0" applyNumberFormat="1" applyFont="1" applyBorder="1" applyAlignment="1">
      <alignment horizontal="center"/>
    </xf>
    <xf numFmtId="1" fontId="6" fillId="3" borderId="5" xfId="0" applyNumberFormat="1" applyFont="1" applyFill="1" applyBorder="1" applyAlignment="1">
      <alignment horizontal="center"/>
    </xf>
    <xf numFmtId="1" fontId="6" fillId="3" borderId="10" xfId="0" applyNumberFormat="1" applyFont="1" applyFill="1" applyBorder="1" applyAlignment="1">
      <alignment horizontal="center"/>
    </xf>
    <xf numFmtId="9" fontId="6" fillId="3" borderId="1" xfId="0" applyNumberFormat="1" applyFont="1" applyFill="1" applyBorder="1" applyAlignment="1">
      <alignment horizontal="center"/>
    </xf>
    <xf numFmtId="1" fontId="6" fillId="2" borderId="5" xfId="0" applyNumberFormat="1" applyFont="1" applyFill="1" applyBorder="1" applyAlignment="1">
      <alignment horizontal="center"/>
    </xf>
    <xf numFmtId="164" fontId="6" fillId="2" borderId="5" xfId="0" applyNumberFormat="1" applyFont="1" applyFill="1" applyBorder="1" applyAlignment="1">
      <alignment horizontal="center"/>
    </xf>
    <xf numFmtId="164" fontId="9" fillId="5" borderId="12" xfId="0" applyNumberFormat="1" applyFont="1" applyFill="1" applyBorder="1" applyAlignment="1">
      <alignment horizontal="left"/>
    </xf>
    <xf numFmtId="165" fontId="9" fillId="5" borderId="1" xfId="0" applyNumberFormat="1" applyFont="1" applyFill="1" applyBorder="1" applyAlignment="1">
      <alignment horizontal="center"/>
    </xf>
    <xf numFmtId="10" fontId="8" fillId="5" borderId="10" xfId="0" applyNumberFormat="1" applyFont="1" applyFill="1" applyBorder="1" applyAlignment="1">
      <alignment horizontal="center"/>
    </xf>
    <xf numFmtId="165" fontId="6" fillId="5" borderId="5" xfId="0" applyNumberFormat="1" applyFont="1" applyFill="1" applyBorder="1" applyAlignment="1">
      <alignment horizontal="center"/>
    </xf>
    <xf numFmtId="164" fontId="7" fillId="4" borderId="5" xfId="0" applyNumberFormat="1" applyFont="1" applyFill="1" applyBorder="1" applyAlignment="1">
      <alignment horizontal="center"/>
    </xf>
    <xf numFmtId="164" fontId="6" fillId="4" borderId="10" xfId="0" applyNumberFormat="1" applyFont="1" applyFill="1" applyBorder="1" applyAlignment="1">
      <alignment horizontal="center"/>
    </xf>
    <xf numFmtId="1" fontId="7" fillId="4" borderId="10" xfId="0" applyNumberFormat="1" applyFont="1" applyFill="1" applyBorder="1" applyAlignment="1">
      <alignment horizontal="center"/>
    </xf>
    <xf numFmtId="0" fontId="34" fillId="0" borderId="10" xfId="0" applyFont="1" applyBorder="1"/>
    <xf numFmtId="0" fontId="3" fillId="0" borderId="3" xfId="0" applyFont="1" applyBorder="1"/>
    <xf numFmtId="0" fontId="3" fillId="0" borderId="9" xfId="0" applyFont="1" applyBorder="1"/>
    <xf numFmtId="164" fontId="66" fillId="8" borderId="0" xfId="0" applyNumberFormat="1" applyFont="1" applyFill="1" applyAlignment="1">
      <alignment horizontal="center"/>
    </xf>
    <xf numFmtId="2" fontId="98" fillId="8" borderId="0" xfId="0" applyNumberFormat="1" applyFont="1" applyFill="1" applyAlignment="1">
      <alignment horizontal="center"/>
    </xf>
    <xf numFmtId="164" fontId="75" fillId="0" borderId="4" xfId="0" applyNumberFormat="1" applyFont="1" applyBorder="1" applyAlignment="1">
      <alignment horizontal="center"/>
    </xf>
    <xf numFmtId="167" fontId="22" fillId="0" borderId="3" xfId="0" applyNumberFormat="1" applyFont="1" applyBorder="1" applyAlignment="1">
      <alignment horizontal="center"/>
    </xf>
    <xf numFmtId="2" fontId="22" fillId="0" borderId="3" xfId="0" applyNumberFormat="1" applyFont="1" applyBorder="1" applyAlignment="1">
      <alignment horizontal="center"/>
    </xf>
    <xf numFmtId="3" fontId="22" fillId="0" borderId="3" xfId="0" applyNumberFormat="1" applyFont="1" applyBorder="1" applyAlignment="1">
      <alignment horizontal="center"/>
    </xf>
    <xf numFmtId="164" fontId="22" fillId="0" borderId="3" xfId="0" applyNumberFormat="1" applyFont="1" applyBorder="1" applyAlignment="1">
      <alignment horizontal="center"/>
    </xf>
    <xf numFmtId="0" fontId="78" fillId="8" borderId="3" xfId="0" applyFont="1" applyFill="1" applyBorder="1" applyAlignment="1">
      <alignment horizontal="center"/>
    </xf>
    <xf numFmtId="0" fontId="78" fillId="8" borderId="0" xfId="0" applyFont="1" applyFill="1" applyAlignment="1">
      <alignment horizontal="center"/>
    </xf>
    <xf numFmtId="0" fontId="98" fillId="8" borderId="0" xfId="0" applyFont="1" applyFill="1" applyAlignment="1">
      <alignment horizontal="center" wrapText="1"/>
    </xf>
    <xf numFmtId="164" fontId="3" fillId="0" borderId="3" xfId="0" applyNumberFormat="1" applyFont="1" applyBorder="1" applyAlignment="1">
      <alignment horizontal="center"/>
    </xf>
    <xf numFmtId="0" fontId="105" fillId="0" borderId="1" xfId="0" applyFont="1" applyBorder="1" applyAlignment="1">
      <alignment horizontal="center"/>
    </xf>
    <xf numFmtId="0" fontId="3" fillId="0" borderId="7" xfId="0" applyFont="1" applyBorder="1" applyAlignment="1">
      <alignment horizontal="center"/>
    </xf>
    <xf numFmtId="0" fontId="3" fillId="0" borderId="8" xfId="0" applyFont="1" applyBorder="1" applyAlignment="1">
      <alignment horizontal="center"/>
    </xf>
    <xf numFmtId="0" fontId="3" fillId="0" borderId="11" xfId="0" applyFont="1" applyBorder="1" applyAlignment="1">
      <alignment horizontal="center"/>
    </xf>
    <xf numFmtId="2" fontId="69" fillId="8" borderId="4" xfId="0" applyNumberFormat="1" applyFont="1" applyFill="1" applyBorder="1" applyAlignment="1">
      <alignment horizontal="center"/>
    </xf>
    <xf numFmtId="0" fontId="69" fillId="8" borderId="4" xfId="0" applyFont="1" applyFill="1" applyBorder="1" applyAlignment="1">
      <alignment horizontal="center"/>
    </xf>
    <xf numFmtId="1" fontId="7" fillId="9" borderId="15" xfId="0" applyNumberFormat="1" applyFont="1" applyFill="1" applyBorder="1"/>
    <xf numFmtId="1" fontId="8" fillId="0" borderId="11" xfId="0" applyNumberFormat="1" applyFont="1" applyBorder="1" applyAlignment="1">
      <alignment horizontal="center"/>
    </xf>
    <xf numFmtId="1" fontId="42" fillId="0" borderId="0" xfId="0" applyNumberFormat="1" applyFont="1" applyAlignment="1">
      <alignment horizontal="center"/>
    </xf>
    <xf numFmtId="1" fontId="106" fillId="0" borderId="0" xfId="0" applyNumberFormat="1" applyFont="1" applyAlignment="1">
      <alignment horizontal="center"/>
    </xf>
    <xf numFmtId="49" fontId="5" fillId="0" borderId="0" xfId="0" applyNumberFormat="1" applyFont="1" applyAlignment="1">
      <alignment horizontal="center"/>
    </xf>
    <xf numFmtId="0" fontId="34" fillId="8" borderId="0" xfId="0" applyFont="1" applyFill="1" applyAlignment="1">
      <alignment horizontal="center"/>
    </xf>
    <xf numFmtId="0" fontId="34" fillId="0" borderId="6" xfId="0" applyFont="1" applyBorder="1" applyAlignment="1">
      <alignment horizontal="center"/>
    </xf>
    <xf numFmtId="167" fontId="33" fillId="0" borderId="3" xfId="0" applyNumberFormat="1" applyFont="1" applyBorder="1" applyAlignment="1">
      <alignment horizontal="center"/>
    </xf>
    <xf numFmtId="2" fontId="33" fillId="0" borderId="3" xfId="0" applyNumberFormat="1" applyFont="1" applyBorder="1" applyAlignment="1">
      <alignment horizontal="center"/>
    </xf>
    <xf numFmtId="2" fontId="19" fillId="0" borderId="2" xfId="0" applyNumberFormat="1" applyFont="1" applyBorder="1" applyAlignment="1">
      <alignment horizontal="center"/>
    </xf>
    <xf numFmtId="0" fontId="3" fillId="0" borderId="22" xfId="0" applyFont="1" applyBorder="1" applyAlignment="1">
      <alignment horizontal="center"/>
    </xf>
    <xf numFmtId="0" fontId="45" fillId="0" borderId="22" xfId="0" applyFont="1" applyBorder="1" applyAlignment="1">
      <alignment horizontal="center"/>
    </xf>
    <xf numFmtId="0" fontId="3" fillId="0" borderId="20" xfId="0" applyFont="1" applyBorder="1" applyAlignment="1">
      <alignment horizontal="center"/>
    </xf>
    <xf numFmtId="0" fontId="107" fillId="8" borderId="0" xfId="0" applyFont="1" applyFill="1" applyAlignment="1">
      <alignment horizontal="center"/>
    </xf>
    <xf numFmtId="0" fontId="40" fillId="0" borderId="3" xfId="0" applyFont="1" applyBorder="1" applyAlignment="1">
      <alignment horizontal="left"/>
    </xf>
    <xf numFmtId="164" fontId="29" fillId="0" borderId="3" xfId="0" applyNumberFormat="1" applyFont="1" applyBorder="1" applyAlignment="1">
      <alignment horizontal="center"/>
    </xf>
    <xf numFmtId="2" fontId="19" fillId="0" borderId="1" xfId="0" applyNumberFormat="1" applyFont="1" applyBorder="1" applyAlignment="1">
      <alignment horizontal="center"/>
    </xf>
    <xf numFmtId="8" fontId="107" fillId="8" borderId="4" xfId="0" applyNumberFormat="1" applyFont="1" applyFill="1" applyBorder="1" applyAlignment="1">
      <alignment horizontal="center"/>
    </xf>
    <xf numFmtId="164" fontId="107" fillId="8" borderId="4" xfId="0" applyNumberFormat="1" applyFont="1" applyFill="1" applyBorder="1" applyAlignment="1">
      <alignment horizontal="center"/>
    </xf>
    <xf numFmtId="164" fontId="43" fillId="0" borderId="4" xfId="0" applyNumberFormat="1" applyFont="1" applyBorder="1" applyAlignment="1">
      <alignment horizontal="right"/>
    </xf>
    <xf numFmtId="164" fontId="108" fillId="0" borderId="4" xfId="0" applyNumberFormat="1" applyFont="1" applyBorder="1" applyAlignment="1">
      <alignment horizontal="right"/>
    </xf>
    <xf numFmtId="164" fontId="108" fillId="0" borderId="4" xfId="0" applyNumberFormat="1" applyFont="1" applyBorder="1" applyAlignment="1">
      <alignment horizontal="center"/>
    </xf>
    <xf numFmtId="164" fontId="37" fillId="0" borderId="3" xfId="0" applyNumberFormat="1" applyFont="1" applyBorder="1" applyAlignment="1">
      <alignment horizontal="center"/>
    </xf>
    <xf numFmtId="0" fontId="50" fillId="0" borderId="0" xfId="0" applyFont="1" applyAlignment="1">
      <alignment horizontal="left"/>
    </xf>
    <xf numFmtId="164" fontId="29" fillId="0" borderId="4" xfId="0" applyNumberFormat="1" applyFont="1" applyBorder="1" applyAlignment="1">
      <alignment horizontal="right"/>
    </xf>
    <xf numFmtId="0" fontId="21" fillId="0" borderId="0" xfId="0" applyFont="1" applyAlignment="1">
      <alignment horizontal="left"/>
    </xf>
    <xf numFmtId="0" fontId="0" fillId="0" borderId="0" xfId="0" applyAlignment="1">
      <alignment horizontal="left"/>
    </xf>
    <xf numFmtId="0" fontId="3" fillId="0" borderId="3" xfId="0" applyFont="1" applyBorder="1" applyAlignment="1">
      <alignment horizontal="left"/>
    </xf>
    <xf numFmtId="0" fontId="3" fillId="0" borderId="0" xfId="0" applyFont="1" applyAlignment="1">
      <alignment horizontal="left"/>
    </xf>
    <xf numFmtId="0" fontId="51" fillId="0" borderId="0" xfId="0" applyFont="1" applyAlignment="1">
      <alignment horizontal="left"/>
    </xf>
    <xf numFmtId="0" fontId="21" fillId="0" borderId="3" xfId="0" applyFont="1" applyBorder="1" applyAlignment="1">
      <alignment horizontal="left"/>
    </xf>
    <xf numFmtId="0" fontId="51" fillId="0" borderId="3" xfId="0" applyFont="1" applyBorder="1" applyAlignment="1">
      <alignment horizontal="left"/>
    </xf>
    <xf numFmtId="0" fontId="34" fillId="0" borderId="3" xfId="0" applyFont="1" applyBorder="1" applyAlignment="1">
      <alignment horizontal="left"/>
    </xf>
    <xf numFmtId="0" fontId="79" fillId="0" borderId="0" xfId="0" applyFont="1" applyAlignment="1">
      <alignment horizontal="left"/>
    </xf>
    <xf numFmtId="0" fontId="93" fillId="0" borderId="3" xfId="0" applyFont="1" applyBorder="1" applyAlignment="1">
      <alignment horizontal="left"/>
    </xf>
    <xf numFmtId="0" fontId="2" fillId="0" borderId="12" xfId="0" applyFont="1" applyBorder="1" applyAlignment="1">
      <alignment horizontal="left"/>
    </xf>
    <xf numFmtId="0" fontId="6" fillId="0" borderId="4" xfId="0" applyFont="1" applyBorder="1" applyAlignment="1">
      <alignment horizontal="center"/>
    </xf>
    <xf numFmtId="1" fontId="62" fillId="0" borderId="5" xfId="0" applyNumberFormat="1" applyFont="1" applyBorder="1" applyAlignment="1">
      <alignment horizontal="center"/>
    </xf>
    <xf numFmtId="0" fontId="2" fillId="0" borderId="4" xfId="0" applyFont="1" applyBorder="1" applyAlignment="1">
      <alignment horizontal="center"/>
    </xf>
    <xf numFmtId="0" fontId="57" fillId="0" borderId="0" xfId="0" applyFont="1" applyAlignment="1">
      <alignment horizontal="center"/>
    </xf>
    <xf numFmtId="0" fontId="76" fillId="0" borderId="0" xfId="0" applyFont="1" applyAlignment="1">
      <alignment horizontal="center"/>
    </xf>
    <xf numFmtId="0" fontId="45" fillId="0" borderId="21" xfId="0" applyFont="1" applyBorder="1" applyAlignment="1">
      <alignment horizontal="left"/>
    </xf>
    <xf numFmtId="0" fontId="76" fillId="0" borderId="26" xfId="0" applyFont="1" applyBorder="1" applyAlignment="1">
      <alignment horizontal="left"/>
    </xf>
    <xf numFmtId="0" fontId="3" fillId="0" borderId="25" xfId="0" applyFont="1" applyBorder="1" applyAlignment="1">
      <alignment horizontal="center"/>
    </xf>
    <xf numFmtId="0" fontId="57" fillId="0" borderId="24" xfId="0" applyFont="1" applyBorder="1" applyAlignment="1">
      <alignment horizontal="center"/>
    </xf>
    <xf numFmtId="0" fontId="2" fillId="0" borderId="3" xfId="0" applyFont="1" applyBorder="1" applyAlignment="1">
      <alignment horizontal="center"/>
    </xf>
    <xf numFmtId="4" fontId="8" fillId="0" borderId="0" xfId="0" applyNumberFormat="1" applyFont="1" applyAlignment="1">
      <alignment horizontal="left"/>
    </xf>
    <xf numFmtId="0" fontId="109" fillId="0" borderId="0" xfId="0" applyFont="1"/>
    <xf numFmtId="164" fontId="110" fillId="0" borderId="0" xfId="0" applyNumberFormat="1" applyFont="1" applyAlignment="1">
      <alignment horizontal="center"/>
    </xf>
    <xf numFmtId="164" fontId="111" fillId="0" borderId="0" xfId="0" applyNumberFormat="1" applyFont="1" applyAlignment="1">
      <alignment horizontal="center"/>
    </xf>
    <xf numFmtId="165" fontId="110" fillId="6" borderId="0" xfId="0" applyNumberFormat="1" applyFont="1" applyFill="1" applyAlignment="1">
      <alignment horizontal="center"/>
    </xf>
    <xf numFmtId="10" fontId="111" fillId="0" borderId="0" xfId="0" applyNumberFormat="1" applyFont="1" applyAlignment="1">
      <alignment horizontal="center"/>
    </xf>
    <xf numFmtId="166" fontId="111" fillId="0" borderId="0" xfId="0" applyNumberFormat="1" applyFont="1" applyAlignment="1">
      <alignment horizontal="center"/>
    </xf>
    <xf numFmtId="1" fontId="110" fillId="0" borderId="3" xfId="0" applyNumberFormat="1" applyFont="1" applyBorder="1" applyAlignment="1">
      <alignment horizontal="center"/>
    </xf>
    <xf numFmtId="169" fontId="111" fillId="0" borderId="0" xfId="0" applyNumberFormat="1" applyFont="1" applyAlignment="1">
      <alignment horizontal="center"/>
    </xf>
    <xf numFmtId="10" fontId="110" fillId="6" borderId="0" xfId="0" applyNumberFormat="1" applyFont="1" applyFill="1" applyAlignment="1">
      <alignment horizontal="center"/>
    </xf>
    <xf numFmtId="164" fontId="111" fillId="6" borderId="0" xfId="0" applyNumberFormat="1" applyFont="1" applyFill="1" applyAlignment="1">
      <alignment horizontal="center"/>
    </xf>
    <xf numFmtId="164" fontId="109" fillId="0" borderId="0" xfId="0" applyNumberFormat="1" applyFont="1" applyAlignment="1">
      <alignment horizontal="right"/>
    </xf>
    <xf numFmtId="0" fontId="112" fillId="8" borderId="0" xfId="0" applyFont="1" applyFill="1" applyAlignment="1">
      <alignment horizontal="center"/>
    </xf>
    <xf numFmtId="2" fontId="23" fillId="0" borderId="4" xfId="0" applyNumberFormat="1" applyFont="1" applyBorder="1" applyAlignment="1">
      <alignment horizontal="center"/>
    </xf>
    <xf numFmtId="0" fontId="52" fillId="0" borderId="0" xfId="0" applyFont="1" applyAlignment="1">
      <alignment horizontal="left"/>
    </xf>
    <xf numFmtId="164" fontId="113" fillId="0" borderId="4" xfId="0" applyNumberFormat="1" applyFont="1" applyBorder="1" applyAlignment="1">
      <alignment horizontal="center"/>
    </xf>
    <xf numFmtId="0" fontId="76" fillId="0" borderId="23" xfId="0" applyFont="1" applyBorder="1" applyAlignment="1">
      <alignment horizontal="left"/>
    </xf>
    <xf numFmtId="0" fontId="45" fillId="0" borderId="22" xfId="0" applyFont="1" applyBorder="1" applyAlignment="1">
      <alignment horizontal="left"/>
    </xf>
    <xf numFmtId="0" fontId="21" fillId="8" borderId="0" xfId="0" applyFont="1" applyFill="1" applyAlignment="1">
      <alignment horizontal="center"/>
    </xf>
    <xf numFmtId="2" fontId="21" fillId="8" borderId="0" xfId="0" applyNumberFormat="1" applyFont="1" applyFill="1" applyAlignment="1">
      <alignment horizontal="center"/>
    </xf>
    <xf numFmtId="164" fontId="30" fillId="0" borderId="2" xfId="0" applyNumberFormat="1" applyFont="1" applyBorder="1" applyAlignment="1">
      <alignment horizontal="center"/>
    </xf>
    <xf numFmtId="164" fontId="29" fillId="0" borderId="0" xfId="0" applyNumberFormat="1" applyFont="1" applyAlignment="1">
      <alignment horizontal="center"/>
    </xf>
    <xf numFmtId="164" fontId="72" fillId="0" borderId="0" xfId="0" applyNumberFormat="1" applyFont="1" applyAlignment="1">
      <alignment horizontal="center"/>
    </xf>
    <xf numFmtId="164" fontId="30" fillId="0" borderId="1" xfId="0" applyNumberFormat="1" applyFont="1" applyBorder="1" applyAlignment="1">
      <alignment horizontal="center"/>
    </xf>
    <xf numFmtId="164" fontId="28" fillId="0" borderId="0" xfId="0" applyNumberFormat="1" applyFont="1" applyAlignment="1">
      <alignment horizontal="center"/>
    </xf>
    <xf numFmtId="164" fontId="28" fillId="0" borderId="1" xfId="0" applyNumberFormat="1" applyFont="1" applyBorder="1" applyAlignment="1">
      <alignment horizontal="center"/>
    </xf>
    <xf numFmtId="164" fontId="29" fillId="0" borderId="1" xfId="0" applyNumberFormat="1" applyFont="1" applyBorder="1" applyAlignment="1">
      <alignment horizontal="center"/>
    </xf>
    <xf numFmtId="164" fontId="28" fillId="0" borderId="2" xfId="0" applyNumberFormat="1" applyFont="1" applyBorder="1" applyAlignment="1">
      <alignment horizontal="center"/>
    </xf>
    <xf numFmtId="164" fontId="29" fillId="0" borderId="2" xfId="0" applyNumberFormat="1" applyFont="1" applyBorder="1" applyAlignment="1">
      <alignment horizontal="center"/>
    </xf>
    <xf numFmtId="164" fontId="73" fillId="0" borderId="12" xfId="0" applyNumberFormat="1" applyFont="1" applyBorder="1" applyAlignment="1">
      <alignment horizontal="center"/>
    </xf>
    <xf numFmtId="164" fontId="30" fillId="0" borderId="4" xfId="0" applyNumberFormat="1" applyFont="1" applyBorder="1" applyAlignment="1">
      <alignment horizontal="center"/>
    </xf>
    <xf numFmtId="164" fontId="73" fillId="0" borderId="4" xfId="0" applyNumberFormat="1" applyFont="1" applyBorder="1" applyAlignment="1">
      <alignment horizontal="center"/>
    </xf>
    <xf numFmtId="164" fontId="73" fillId="0" borderId="3" xfId="0" applyNumberFormat="1" applyFont="1" applyBorder="1" applyAlignment="1">
      <alignment horizontal="center"/>
    </xf>
    <xf numFmtId="164" fontId="73" fillId="0" borderId="5" xfId="0" applyNumberFormat="1" applyFont="1" applyBorder="1" applyAlignment="1">
      <alignment horizontal="center"/>
    </xf>
    <xf numFmtId="164" fontId="29" fillId="0" borderId="5" xfId="0" applyNumberFormat="1" applyFont="1" applyBorder="1" applyAlignment="1">
      <alignment horizontal="center"/>
    </xf>
    <xf numFmtId="164" fontId="73" fillId="0" borderId="10" xfId="0" applyNumberFormat="1" applyFont="1" applyBorder="1" applyAlignment="1">
      <alignment horizontal="center"/>
    </xf>
    <xf numFmtId="0" fontId="6" fillId="5" borderId="6" xfId="0" applyFont="1" applyFill="1" applyBorder="1" applyAlignment="1">
      <alignment horizontal="center"/>
    </xf>
    <xf numFmtId="0" fontId="8" fillId="5" borderId="0" xfId="0" applyFont="1" applyFill="1" applyAlignment="1">
      <alignment horizontal="center"/>
    </xf>
    <xf numFmtId="0" fontId="37" fillId="5" borderId="6" xfId="0" applyFont="1" applyFill="1" applyBorder="1" applyAlignment="1">
      <alignment horizontal="center"/>
    </xf>
    <xf numFmtId="0" fontId="9" fillId="5" borderId="12" xfId="0" applyFont="1" applyFill="1" applyBorder="1" applyAlignment="1">
      <alignment horizontal="center"/>
    </xf>
    <xf numFmtId="0" fontId="39" fillId="0" borderId="1" xfId="0" applyFont="1" applyBorder="1" applyAlignment="1">
      <alignment horizontal="center"/>
    </xf>
    <xf numFmtId="0" fontId="36" fillId="0" borderId="0" xfId="0" applyFont="1" applyAlignment="1">
      <alignment horizontal="center"/>
    </xf>
    <xf numFmtId="0" fontId="32" fillId="0" borderId="1" xfId="0" applyFont="1" applyBorder="1" applyAlignment="1">
      <alignment horizontal="center"/>
    </xf>
    <xf numFmtId="0" fontId="8" fillId="0" borderId="2" xfId="0" applyFont="1" applyBorder="1" applyAlignment="1">
      <alignment horizontal="center"/>
    </xf>
    <xf numFmtId="0" fontId="23" fillId="0" borderId="0" xfId="0" applyFont="1" applyAlignment="1">
      <alignment horizontal="center"/>
    </xf>
    <xf numFmtId="0" fontId="23" fillId="0" borderId="1" xfId="0" applyFont="1" applyBorder="1" applyAlignment="1">
      <alignment horizontal="center"/>
    </xf>
    <xf numFmtId="0" fontId="7" fillId="0" borderId="0" xfId="0" applyFont="1" applyAlignment="1">
      <alignment horizontal="center"/>
    </xf>
    <xf numFmtId="0" fontId="90" fillId="0" borderId="0" xfId="0" applyFont="1" applyAlignment="1">
      <alignment horizontal="center"/>
    </xf>
    <xf numFmtId="0" fontId="111" fillId="0" borderId="0" xfId="0" applyFont="1" applyAlignment="1">
      <alignment horizontal="center"/>
    </xf>
    <xf numFmtId="0" fontId="8" fillId="0" borderId="1" xfId="0" applyFont="1" applyBorder="1" applyAlignment="1">
      <alignment horizontal="center"/>
    </xf>
    <xf numFmtId="0" fontId="32" fillId="0" borderId="2" xfId="0" applyFont="1" applyBorder="1" applyAlignment="1">
      <alignment horizontal="center"/>
    </xf>
    <xf numFmtId="0" fontId="33" fillId="0" borderId="0" xfId="0" applyFont="1" applyAlignment="1">
      <alignment horizontal="center"/>
    </xf>
    <xf numFmtId="0" fontId="37" fillId="0" borderId="2" xfId="0" applyFont="1" applyBorder="1" applyAlignment="1">
      <alignment horizontal="center"/>
    </xf>
    <xf numFmtId="0" fontId="23" fillId="0" borderId="2" xfId="0" applyFont="1" applyBorder="1" applyAlignment="1">
      <alignment horizontal="center"/>
    </xf>
    <xf numFmtId="0" fontId="32" fillId="0" borderId="0" xfId="0" applyFont="1" applyAlignment="1">
      <alignment horizontal="center"/>
    </xf>
    <xf numFmtId="164" fontId="30" fillId="10" borderId="0" xfId="0" applyNumberFormat="1" applyFont="1" applyFill="1" applyAlignment="1">
      <alignment horizontal="center"/>
    </xf>
    <xf numFmtId="164" fontId="30" fillId="9" borderId="0" xfId="0" applyNumberFormat="1" applyFont="1" applyFill="1" applyAlignment="1">
      <alignment horizontal="center"/>
    </xf>
    <xf numFmtId="8" fontId="107" fillId="8" borderId="0" xfId="0" applyNumberFormat="1" applyFont="1" applyFill="1" applyAlignment="1">
      <alignment horizontal="center"/>
    </xf>
    <xf numFmtId="0" fontId="117" fillId="8" borderId="0" xfId="0" applyFont="1" applyFill="1" applyAlignment="1">
      <alignment horizontal="center"/>
    </xf>
    <xf numFmtId="165" fontId="33" fillId="6" borderId="0" xfId="0" applyNumberFormat="1" applyFont="1" applyFill="1" applyAlignment="1">
      <alignment horizontal="center"/>
    </xf>
    <xf numFmtId="10" fontId="33" fillId="6" borderId="0" xfId="0" applyNumberFormat="1" applyFont="1" applyFill="1" applyAlignment="1">
      <alignment horizontal="center"/>
    </xf>
    <xf numFmtId="164" fontId="32" fillId="6" borderId="0" xfId="0" applyNumberFormat="1" applyFont="1" applyFill="1" applyAlignment="1">
      <alignment horizontal="center"/>
    </xf>
    <xf numFmtId="0" fontId="25" fillId="0" borderId="0" xfId="0" applyFont="1" applyAlignment="1">
      <alignment horizontal="center"/>
    </xf>
    <xf numFmtId="0" fontId="21" fillId="0" borderId="6" xfId="0" applyFont="1" applyBorder="1" applyAlignment="1">
      <alignment horizontal="center"/>
    </xf>
    <xf numFmtId="0" fontId="119" fillId="0" borderId="6" xfId="0" applyFont="1" applyBorder="1" applyAlignment="1">
      <alignment horizontal="center"/>
    </xf>
    <xf numFmtId="1" fontId="120" fillId="0" borderId="3" xfId="0" applyNumberFormat="1" applyFont="1" applyBorder="1" applyAlignment="1">
      <alignment horizontal="center"/>
    </xf>
    <xf numFmtId="167" fontId="120" fillId="0" borderId="3" xfId="0" applyNumberFormat="1" applyFont="1" applyBorder="1" applyAlignment="1">
      <alignment horizontal="center"/>
    </xf>
    <xf numFmtId="2" fontId="120" fillId="0" borderId="3" xfId="0" applyNumberFormat="1" applyFont="1" applyBorder="1" applyAlignment="1">
      <alignment horizontal="center"/>
    </xf>
    <xf numFmtId="3" fontId="120" fillId="0" borderId="3" xfId="0" applyNumberFormat="1" applyFont="1" applyBorder="1" applyAlignment="1">
      <alignment horizontal="center"/>
    </xf>
    <xf numFmtId="164" fontId="120" fillId="0" borderId="3" xfId="0" applyNumberFormat="1" applyFont="1" applyBorder="1" applyAlignment="1">
      <alignment horizontal="center"/>
    </xf>
    <xf numFmtId="164" fontId="120" fillId="0" borderId="6" xfId="0" applyNumberFormat="1" applyFont="1" applyBorder="1" applyAlignment="1">
      <alignment horizontal="center"/>
    </xf>
    <xf numFmtId="164" fontId="121" fillId="0" borderId="0" xfId="0" applyNumberFormat="1" applyFont="1" applyAlignment="1">
      <alignment horizontal="center"/>
    </xf>
    <xf numFmtId="0" fontId="119" fillId="0" borderId="3" xfId="0" applyFont="1" applyBorder="1" applyAlignment="1">
      <alignment horizontal="left"/>
    </xf>
    <xf numFmtId="0" fontId="119" fillId="0" borderId="0" xfId="0" applyFont="1" applyAlignment="1">
      <alignment horizontal="center"/>
    </xf>
    <xf numFmtId="1" fontId="120" fillId="0" borderId="3" xfId="0" applyNumberFormat="1" applyFont="1" applyBorder="1" applyAlignment="1">
      <alignment horizontal="left"/>
    </xf>
    <xf numFmtId="1" fontId="122" fillId="0" borderId="0" xfId="0" applyNumberFormat="1" applyFont="1" applyAlignment="1">
      <alignment horizontal="center"/>
    </xf>
    <xf numFmtId="164" fontId="120" fillId="0" borderId="0" xfId="0" applyNumberFormat="1" applyFont="1" applyAlignment="1">
      <alignment horizontal="center"/>
    </xf>
    <xf numFmtId="164" fontId="122" fillId="0" borderId="0" xfId="0" applyNumberFormat="1" applyFont="1" applyAlignment="1">
      <alignment horizontal="center"/>
    </xf>
    <xf numFmtId="49" fontId="120" fillId="0" borderId="0" xfId="0" applyNumberFormat="1" applyFont="1" applyAlignment="1">
      <alignment horizontal="center"/>
    </xf>
    <xf numFmtId="1" fontId="120" fillId="0" borderId="0" xfId="0" applyNumberFormat="1" applyFont="1" applyAlignment="1">
      <alignment horizontal="center"/>
    </xf>
    <xf numFmtId="0" fontId="122" fillId="0" borderId="0" xfId="0" applyFont="1"/>
    <xf numFmtId="4" fontId="122" fillId="0" borderId="0" xfId="0" applyNumberFormat="1" applyFont="1" applyAlignment="1">
      <alignment horizontal="center"/>
    </xf>
    <xf numFmtId="165" fontId="122" fillId="6" borderId="0" xfId="0" applyNumberFormat="1" applyFont="1" applyFill="1" applyAlignment="1">
      <alignment horizontal="center"/>
    </xf>
    <xf numFmtId="10" fontId="122" fillId="0" borderId="0" xfId="0" applyNumberFormat="1" applyFont="1" applyAlignment="1">
      <alignment horizontal="center"/>
    </xf>
    <xf numFmtId="166" fontId="122" fillId="0" borderId="0" xfId="0" applyNumberFormat="1" applyFont="1" applyAlignment="1">
      <alignment horizontal="center"/>
    </xf>
    <xf numFmtId="169" fontId="122" fillId="0" borderId="0" xfId="0" applyNumberFormat="1" applyFont="1" applyAlignment="1">
      <alignment horizontal="center"/>
    </xf>
    <xf numFmtId="10" fontId="122" fillId="6" borderId="0" xfId="0" applyNumberFormat="1" applyFont="1" applyFill="1" applyAlignment="1">
      <alignment horizontal="center"/>
    </xf>
    <xf numFmtId="0" fontId="122" fillId="0" borderId="0" xfId="0" applyFont="1" applyAlignment="1">
      <alignment horizontal="center"/>
    </xf>
    <xf numFmtId="164" fontId="122" fillId="0" borderId="3" xfId="0" applyNumberFormat="1" applyFont="1" applyBorder="1" applyAlignment="1">
      <alignment horizontal="center"/>
    </xf>
    <xf numFmtId="164" fontId="123" fillId="0" borderId="4" xfId="0" applyNumberFormat="1" applyFont="1" applyBorder="1" applyAlignment="1">
      <alignment horizontal="left"/>
    </xf>
    <xf numFmtId="0" fontId="119" fillId="0" borderId="0" xfId="0" applyFont="1"/>
    <xf numFmtId="164" fontId="119" fillId="0" borderId="0" xfId="0" applyNumberFormat="1" applyFont="1" applyAlignment="1">
      <alignment horizontal="right"/>
    </xf>
    <xf numFmtId="164" fontId="120" fillId="0" borderId="2" xfId="0" applyNumberFormat="1" applyFont="1" applyBorder="1" applyAlignment="1">
      <alignment horizontal="center"/>
    </xf>
    <xf numFmtId="0" fontId="122" fillId="0" borderId="9" xfId="0" applyFont="1" applyBorder="1" applyAlignment="1">
      <alignment horizontal="center"/>
    </xf>
    <xf numFmtId="164" fontId="122" fillId="0" borderId="2" xfId="0" applyNumberFormat="1" applyFont="1" applyBorder="1" applyAlignment="1">
      <alignment horizontal="center"/>
    </xf>
    <xf numFmtId="0" fontId="122" fillId="0" borderId="2" xfId="0" applyFont="1" applyBorder="1" applyAlignment="1">
      <alignment horizontal="center"/>
    </xf>
    <xf numFmtId="164" fontId="123" fillId="0" borderId="8" xfId="0" applyNumberFormat="1" applyFont="1" applyBorder="1" applyAlignment="1">
      <alignment horizontal="left"/>
    </xf>
    <xf numFmtId="164" fontId="6" fillId="10" borderId="0" xfId="0" applyNumberFormat="1" applyFont="1" applyFill="1" applyAlignment="1">
      <alignment horizontal="center"/>
    </xf>
    <xf numFmtId="0" fontId="57" fillId="0" borderId="25" xfId="0" applyFont="1" applyBorder="1" applyAlignment="1">
      <alignment horizontal="center"/>
    </xf>
    <xf numFmtId="164" fontId="124" fillId="8" borderId="8" xfId="0" applyNumberFormat="1" applyFont="1" applyFill="1" applyBorder="1" applyAlignment="1">
      <alignment horizontal="center"/>
    </xf>
    <xf numFmtId="164" fontId="125" fillId="8" borderId="4" xfId="0" applyNumberFormat="1" applyFont="1" applyFill="1" applyBorder="1" applyAlignment="1">
      <alignment horizontal="center"/>
    </xf>
    <xf numFmtId="164" fontId="126" fillId="8" borderId="4" xfId="0" applyNumberFormat="1" applyFont="1" applyFill="1" applyBorder="1" applyAlignment="1">
      <alignment horizontal="center"/>
    </xf>
    <xf numFmtId="164" fontId="127" fillId="8" borderId="5" xfId="0" applyNumberFormat="1" applyFont="1" applyFill="1" applyBorder="1" applyAlignment="1">
      <alignment horizontal="center"/>
    </xf>
    <xf numFmtId="1" fontId="19" fillId="0" borderId="4" xfId="0" applyNumberFormat="1" applyFont="1" applyBorder="1" applyAlignment="1">
      <alignment horizontal="center"/>
    </xf>
    <xf numFmtId="0" fontId="35" fillId="0" borderId="3" xfId="0" applyFont="1" applyBorder="1" applyAlignment="1">
      <alignment horizontal="left"/>
    </xf>
    <xf numFmtId="164" fontId="52" fillId="0" borderId="8" xfId="0" applyNumberFormat="1" applyFont="1" applyBorder="1" applyAlignment="1">
      <alignment horizontal="left"/>
    </xf>
    <xf numFmtId="164" fontId="21" fillId="0" borderId="0" xfId="0" applyNumberFormat="1" applyFont="1" applyAlignment="1">
      <alignment horizontal="right"/>
    </xf>
    <xf numFmtId="0" fontId="35" fillId="11" borderId="0" xfId="0" applyFont="1" applyFill="1" applyAlignment="1">
      <alignment horizontal="left"/>
    </xf>
    <xf numFmtId="44" fontId="35" fillId="11" borderId="0" xfId="0" applyNumberFormat="1" applyFont="1" applyFill="1" applyAlignment="1">
      <alignment horizontal="left"/>
    </xf>
    <xf numFmtId="164" fontId="6" fillId="10" borderId="6" xfId="0" applyNumberFormat="1" applyFont="1" applyFill="1" applyBorder="1" applyAlignment="1">
      <alignment horizontal="center"/>
    </xf>
    <xf numFmtId="2" fontId="3" fillId="8" borderId="4" xfId="0" applyNumberFormat="1" applyFont="1" applyFill="1" applyBorder="1" applyAlignment="1">
      <alignment horizontal="center"/>
    </xf>
    <xf numFmtId="49" fontId="11" fillId="0" borderId="1" xfId="0" applyNumberFormat="1" applyFont="1" applyBorder="1" applyAlignment="1">
      <alignment horizontal="left"/>
    </xf>
    <xf numFmtId="0" fontId="128" fillId="0" borderId="1" xfId="0" applyFont="1" applyBorder="1" applyAlignment="1">
      <alignment horizontal="center"/>
    </xf>
    <xf numFmtId="168" fontId="0" fillId="0" borderId="0" xfId="0" applyNumberFormat="1" applyAlignment="1">
      <alignment horizontal="left"/>
    </xf>
    <xf numFmtId="49" fontId="0" fillId="0" borderId="0" xfId="0" applyNumberFormat="1" applyAlignment="1">
      <alignment horizontal="left"/>
    </xf>
    <xf numFmtId="0" fontId="129" fillId="0" borderId="0" xfId="0" applyFont="1"/>
    <xf numFmtId="2" fontId="0" fillId="0" borderId="0" xfId="0" applyNumberFormat="1" applyAlignment="1">
      <alignment horizontal="left"/>
    </xf>
    <xf numFmtId="0" fontId="130" fillId="0" borderId="0" xfId="0" applyFont="1"/>
    <xf numFmtId="10" fontId="132" fillId="0" borderId="0" xfId="0" applyNumberFormat="1" applyFont="1" applyAlignment="1">
      <alignment horizontal="left"/>
    </xf>
    <xf numFmtId="46" fontId="0" fillId="0" borderId="0" xfId="0" applyNumberFormat="1" applyAlignment="1">
      <alignment horizontal="left"/>
    </xf>
    <xf numFmtId="49" fontId="13" fillId="0" borderId="0" xfId="0" applyNumberFormat="1" applyFont="1" applyAlignment="1">
      <alignment horizontal="left"/>
    </xf>
    <xf numFmtId="2" fontId="1" fillId="0" borderId="3" xfId="0" applyNumberFormat="1" applyFont="1" applyBorder="1" applyAlignment="1">
      <alignment horizontal="left"/>
    </xf>
    <xf numFmtId="49" fontId="1" fillId="0" borderId="0" xfId="0" applyNumberFormat="1" applyFont="1" applyAlignment="1">
      <alignment horizontal="left"/>
    </xf>
    <xf numFmtId="0" fontId="14" fillId="0" borderId="0" xfId="0" applyFont="1"/>
    <xf numFmtId="0" fontId="128" fillId="0" borderId="0" xfId="0" applyFont="1"/>
    <xf numFmtId="2" fontId="1" fillId="0" borderId="0" xfId="0" applyNumberFormat="1" applyFont="1" applyAlignment="1">
      <alignment horizontal="left"/>
    </xf>
    <xf numFmtId="2" fontId="0" fillId="0" borderId="0" xfId="0" applyNumberFormat="1" applyAlignment="1">
      <alignment horizontal="right"/>
    </xf>
    <xf numFmtId="164" fontId="0" fillId="0" borderId="0" xfId="0" applyNumberFormat="1" applyAlignment="1">
      <alignment horizontal="left"/>
    </xf>
    <xf numFmtId="10" fontId="0" fillId="0" borderId="0" xfId="0" applyNumberFormat="1" applyAlignment="1">
      <alignment horizontal="right"/>
    </xf>
    <xf numFmtId="171" fontId="0" fillId="0" borderId="0" xfId="0" applyNumberFormat="1" applyAlignment="1">
      <alignment horizontal="left"/>
    </xf>
    <xf numFmtId="172" fontId="0" fillId="0" borderId="0" xfId="0" applyNumberFormat="1" applyAlignment="1">
      <alignment horizontal="left"/>
    </xf>
    <xf numFmtId="0" fontId="16" fillId="0" borderId="6" xfId="0" applyFont="1" applyBorder="1" applyAlignment="1">
      <alignment horizontal="right"/>
    </xf>
    <xf numFmtId="1" fontId="1" fillId="0" borderId="0" xfId="0" applyNumberFormat="1" applyFont="1" applyAlignment="1">
      <alignment horizontal="left"/>
    </xf>
    <xf numFmtId="1" fontId="61" fillId="0" borderId="26" xfId="0" applyNumberFormat="1" applyFont="1" applyBorder="1" applyAlignment="1">
      <alignment horizontal="left"/>
    </xf>
    <xf numFmtId="0" fontId="0" fillId="0" borderId="0" xfId="0" applyAlignment="1">
      <alignment horizontal="right"/>
    </xf>
    <xf numFmtId="10" fontId="37" fillId="2" borderId="3" xfId="0" applyNumberFormat="1" applyFont="1" applyFill="1" applyBorder="1" applyAlignment="1">
      <alignment horizontal="center"/>
    </xf>
    <xf numFmtId="10" fontId="37" fillId="2" borderId="10" xfId="0" applyNumberFormat="1" applyFont="1" applyFill="1" applyBorder="1" applyAlignment="1">
      <alignment horizontal="center"/>
    </xf>
    <xf numFmtId="164" fontId="83" fillId="0" borderId="1" xfId="0" applyNumberFormat="1" applyFont="1" applyBorder="1"/>
    <xf numFmtId="164" fontId="86" fillId="0" borderId="2" xfId="0" applyNumberFormat="1" applyFont="1" applyBorder="1" applyAlignment="1">
      <alignment horizontal="center"/>
    </xf>
    <xf numFmtId="10" fontId="37" fillId="2" borderId="9" xfId="0" applyNumberFormat="1" applyFont="1" applyFill="1" applyBorder="1" applyAlignment="1">
      <alignment horizontal="center"/>
    </xf>
    <xf numFmtId="10" fontId="37" fillId="0" borderId="0" xfId="0" applyNumberFormat="1" applyFont="1" applyAlignment="1">
      <alignment horizontal="center"/>
    </xf>
    <xf numFmtId="10" fontId="37" fillId="0" borderId="1" xfId="0" applyNumberFormat="1" applyFont="1" applyBorder="1" applyAlignment="1">
      <alignment horizontal="center"/>
    </xf>
    <xf numFmtId="10" fontId="50" fillId="0" borderId="1" xfId="0" applyNumberFormat="1" applyFont="1" applyBorder="1"/>
    <xf numFmtId="10" fontId="37" fillId="0" borderId="2" xfId="0" applyNumberFormat="1" applyFont="1" applyBorder="1" applyAlignment="1">
      <alignment horizontal="center"/>
    </xf>
    <xf numFmtId="0" fontId="131" fillId="0" borderId="6" xfId="0" applyFont="1" applyBorder="1" applyAlignment="1">
      <alignment horizontal="right"/>
    </xf>
    <xf numFmtId="0" fontId="1" fillId="0" borderId="0" xfId="0" applyFont="1" applyAlignment="1">
      <alignment horizontal="right"/>
    </xf>
    <xf numFmtId="2" fontId="0" fillId="0" borderId="3" xfId="0" applyNumberFormat="1" applyBorder="1" applyAlignment="1">
      <alignment horizontal="left"/>
    </xf>
    <xf numFmtId="164" fontId="86" fillId="6" borderId="0" xfId="0" applyNumberFormat="1" applyFont="1" applyFill="1" applyAlignment="1">
      <alignment horizontal="center"/>
    </xf>
    <xf numFmtId="164" fontId="86" fillId="12" borderId="0" xfId="0" applyNumberFormat="1" applyFont="1" applyFill="1" applyAlignment="1">
      <alignment horizontal="center"/>
    </xf>
    <xf numFmtId="10" fontId="13" fillId="0" borderId="2" xfId="0" applyNumberFormat="1" applyFont="1" applyBorder="1" applyAlignment="1">
      <alignment horizontal="left"/>
    </xf>
    <xf numFmtId="168" fontId="8" fillId="0" borderId="0" xfId="0" applyNumberFormat="1" applyFont="1" applyAlignment="1">
      <alignment horizontal="center"/>
    </xf>
    <xf numFmtId="168" fontId="61" fillId="0" borderId="0" xfId="0" applyNumberFormat="1" applyFont="1" applyAlignment="1">
      <alignment horizontal="center"/>
    </xf>
    <xf numFmtId="168" fontId="8" fillId="0" borderId="1" xfId="0" applyNumberFormat="1" applyFont="1" applyBorder="1" applyAlignment="1">
      <alignment horizontal="center"/>
    </xf>
    <xf numFmtId="168" fontId="6" fillId="3" borderId="0" xfId="0" applyNumberFormat="1" applyFont="1" applyFill="1" applyAlignment="1">
      <alignment horizontal="left"/>
    </xf>
    <xf numFmtId="168" fontId="6" fillId="3" borderId="5" xfId="0" applyNumberFormat="1" applyFont="1" applyFill="1" applyBorder="1" applyAlignment="1">
      <alignment horizontal="center"/>
    </xf>
    <xf numFmtId="168" fontId="7" fillId="0" borderId="0" xfId="0" applyNumberFormat="1" applyFont="1" applyAlignment="1">
      <alignment horizontal="center"/>
    </xf>
    <xf numFmtId="168" fontId="36" fillId="0" borderId="1" xfId="0" applyNumberFormat="1" applyFont="1" applyBorder="1" applyAlignment="1">
      <alignment horizontal="center"/>
    </xf>
    <xf numFmtId="168" fontId="32" fillId="0" borderId="1" xfId="0" applyNumberFormat="1" applyFont="1" applyBorder="1" applyAlignment="1">
      <alignment horizontal="center"/>
    </xf>
    <xf numFmtId="168" fontId="23" fillId="0" borderId="0" xfId="0" applyNumberFormat="1" applyFont="1" applyAlignment="1">
      <alignment horizontal="center"/>
    </xf>
    <xf numFmtId="168" fontId="7" fillId="0" borderId="2" xfId="0" applyNumberFormat="1" applyFont="1" applyBorder="1" applyAlignment="1">
      <alignment horizontal="center"/>
    </xf>
    <xf numFmtId="168" fontId="7" fillId="0" borderId="1" xfId="0" applyNumberFormat="1" applyFont="1" applyBorder="1" applyAlignment="1">
      <alignment horizontal="center"/>
    </xf>
    <xf numFmtId="168" fontId="23" fillId="0" borderId="1" xfId="0" applyNumberFormat="1" applyFont="1" applyBorder="1" applyAlignment="1">
      <alignment horizontal="center"/>
    </xf>
    <xf numFmtId="168" fontId="90" fillId="0" borderId="0" xfId="0" applyNumberFormat="1" applyFont="1" applyAlignment="1">
      <alignment horizontal="center"/>
    </xf>
    <xf numFmtId="168" fontId="32" fillId="0" borderId="0" xfId="0" applyNumberFormat="1" applyFont="1" applyAlignment="1">
      <alignment horizontal="center"/>
    </xf>
    <xf numFmtId="168" fontId="23" fillId="0" borderId="2" xfId="0" applyNumberFormat="1" applyFont="1" applyBorder="1" applyAlignment="1">
      <alignment horizontal="center"/>
    </xf>
    <xf numFmtId="168" fontId="8" fillId="0" borderId="2" xfId="0" applyNumberFormat="1" applyFont="1" applyBorder="1" applyAlignment="1">
      <alignment horizontal="center"/>
    </xf>
    <xf numFmtId="168" fontId="122" fillId="0" borderId="0" xfId="0" applyNumberFormat="1" applyFont="1" applyAlignment="1">
      <alignment horizontal="center"/>
    </xf>
    <xf numFmtId="168" fontId="8" fillId="0" borderId="3" xfId="0" applyNumberFormat="1" applyFont="1" applyBorder="1" applyAlignment="1">
      <alignment horizontal="center"/>
    </xf>
    <xf numFmtId="168" fontId="6" fillId="3" borderId="2" xfId="0" applyNumberFormat="1" applyFont="1" applyFill="1" applyBorder="1" applyAlignment="1">
      <alignment horizontal="center"/>
    </xf>
    <xf numFmtId="168" fontId="6" fillId="3" borderId="1" xfId="0" applyNumberFormat="1" applyFont="1" applyFill="1" applyBorder="1" applyAlignment="1">
      <alignment horizontal="center"/>
    </xf>
    <xf numFmtId="168" fontId="32" fillId="0" borderId="11" xfId="0" applyNumberFormat="1" applyFont="1" applyBorder="1" applyAlignment="1">
      <alignment horizontal="center"/>
    </xf>
    <xf numFmtId="168" fontId="7" fillId="0" borderId="7" xfId="0" applyNumberFormat="1" applyFont="1" applyBorder="1" applyAlignment="1">
      <alignment horizontal="center"/>
    </xf>
    <xf numFmtId="168" fontId="7" fillId="0" borderId="11" xfId="0" applyNumberFormat="1" applyFont="1" applyBorder="1" applyAlignment="1">
      <alignment horizontal="center"/>
    </xf>
    <xf numFmtId="168" fontId="7" fillId="0" borderId="6" xfId="0" applyNumberFormat="1" applyFont="1" applyBorder="1" applyAlignment="1">
      <alignment horizontal="center"/>
    </xf>
    <xf numFmtId="168" fontId="23" fillId="0" borderId="7" xfId="0" applyNumberFormat="1" applyFont="1" applyBorder="1" applyAlignment="1">
      <alignment horizontal="center"/>
    </xf>
    <xf numFmtId="165" fontId="7" fillId="0" borderId="1" xfId="0" applyNumberFormat="1" applyFont="1" applyBorder="1" applyAlignment="1">
      <alignment horizontal="center"/>
    </xf>
    <xf numFmtId="168" fontId="6" fillId="2" borderId="10" xfId="0" applyNumberFormat="1" applyFont="1" applyFill="1" applyBorder="1" applyAlignment="1">
      <alignment horizontal="center"/>
    </xf>
    <xf numFmtId="168" fontId="6" fillId="2" borderId="2" xfId="0" applyNumberFormat="1" applyFont="1" applyFill="1" applyBorder="1" applyAlignment="1">
      <alignment horizontal="center"/>
    </xf>
    <xf numFmtId="1" fontId="8" fillId="0" borderId="3" xfId="0" applyNumberFormat="1" applyFont="1" applyBorder="1"/>
    <xf numFmtId="1" fontId="20" fillId="0" borderId="9" xfId="0" applyNumberFormat="1" applyFont="1" applyBorder="1" applyAlignment="1">
      <alignment horizontal="center"/>
    </xf>
    <xf numFmtId="1" fontId="20" fillId="0" borderId="3" xfId="0" applyNumberFormat="1" applyFont="1" applyBorder="1" applyAlignment="1">
      <alignment horizontal="center"/>
    </xf>
    <xf numFmtId="1" fontId="39" fillId="0" borderId="10" xfId="0" applyNumberFormat="1" applyFont="1" applyBorder="1" applyAlignment="1">
      <alignment horizontal="center"/>
    </xf>
    <xf numFmtId="1" fontId="20" fillId="0" borderId="10" xfId="0" applyNumberFormat="1" applyFont="1" applyBorder="1" applyAlignment="1">
      <alignment horizontal="center"/>
    </xf>
    <xf numFmtId="1" fontId="36" fillId="0" borderId="10" xfId="0" applyNumberFormat="1" applyFont="1" applyBorder="1"/>
    <xf numFmtId="1" fontId="17" fillId="0" borderId="10" xfId="0" applyNumberFormat="1" applyFont="1" applyBorder="1"/>
    <xf numFmtId="1" fontId="8" fillId="0" borderId="10" xfId="0" applyNumberFormat="1" applyFont="1" applyBorder="1"/>
    <xf numFmtId="1" fontId="17" fillId="0" borderId="3" xfId="0" applyNumberFormat="1" applyFont="1" applyBorder="1"/>
    <xf numFmtId="1" fontId="8" fillId="0" borderId="9" xfId="0" applyNumberFormat="1" applyFont="1" applyBorder="1"/>
    <xf numFmtId="1" fontId="8" fillId="0" borderId="4" xfId="0" applyNumberFormat="1" applyFont="1" applyBorder="1"/>
    <xf numFmtId="168" fontId="9" fillId="0" borderId="0" xfId="0" applyNumberFormat="1" applyFont="1" applyAlignment="1">
      <alignment horizontal="center"/>
    </xf>
    <xf numFmtId="168" fontId="9" fillId="0" borderId="1" xfId="0" applyNumberFormat="1" applyFont="1" applyBorder="1" applyAlignment="1">
      <alignment horizontal="center"/>
    </xf>
    <xf numFmtId="168" fontId="6" fillId="0" borderId="0" xfId="0" applyNumberFormat="1" applyFont="1" applyAlignment="1">
      <alignment horizontal="center"/>
    </xf>
    <xf numFmtId="168" fontId="39" fillId="0" borderId="1" xfId="0" applyNumberFormat="1" applyFont="1" applyBorder="1" applyAlignment="1">
      <alignment horizontal="center"/>
    </xf>
    <xf numFmtId="168" fontId="33" fillId="0" borderId="1" xfId="0" applyNumberFormat="1" applyFont="1" applyBorder="1" applyAlignment="1">
      <alignment horizontal="center"/>
    </xf>
    <xf numFmtId="168" fontId="22" fillId="0" borderId="0" xfId="0" applyNumberFormat="1" applyFont="1" applyAlignment="1">
      <alignment horizontal="center"/>
    </xf>
    <xf numFmtId="168" fontId="6" fillId="0" borderId="1" xfId="0" applyNumberFormat="1" applyFont="1" applyBorder="1" applyAlignment="1">
      <alignment horizontal="center"/>
    </xf>
    <xf numFmtId="168" fontId="22" fillId="0" borderId="1" xfId="0" applyNumberFormat="1" applyFont="1" applyBorder="1" applyAlignment="1">
      <alignment horizontal="center"/>
    </xf>
    <xf numFmtId="168" fontId="91" fillId="0" borderId="0" xfId="0" applyNumberFormat="1" applyFont="1" applyAlignment="1">
      <alignment horizontal="center"/>
    </xf>
    <xf numFmtId="168" fontId="48" fillId="0" borderId="1" xfId="0" applyNumberFormat="1" applyFont="1" applyBorder="1"/>
    <xf numFmtId="168" fontId="33" fillId="0" borderId="2" xfId="0" applyNumberFormat="1" applyFont="1" applyBorder="1" applyAlignment="1">
      <alignment horizontal="center"/>
    </xf>
    <xf numFmtId="168" fontId="6" fillId="0" borderId="2" xfId="0" applyNumberFormat="1" applyFont="1" applyBorder="1" applyAlignment="1">
      <alignment horizontal="center"/>
    </xf>
    <xf numFmtId="168" fontId="22" fillId="0" borderId="2" xfId="0" applyNumberFormat="1" applyFont="1" applyBorder="1" applyAlignment="1">
      <alignment horizontal="center"/>
    </xf>
    <xf numFmtId="168" fontId="33" fillId="0" borderId="0" xfId="0" applyNumberFormat="1" applyFont="1" applyAlignment="1">
      <alignment horizontal="center"/>
    </xf>
    <xf numFmtId="168" fontId="9" fillId="0" borderId="2" xfId="0" applyNumberFormat="1" applyFont="1" applyBorder="1" applyAlignment="1">
      <alignment horizontal="center"/>
    </xf>
    <xf numFmtId="168" fontId="120" fillId="0" borderId="0" xfId="0" applyNumberFormat="1" applyFont="1" applyAlignment="1">
      <alignment horizontal="center"/>
    </xf>
    <xf numFmtId="168" fontId="9" fillId="0" borderId="3" xfId="0" applyNumberFormat="1" applyFont="1" applyBorder="1" applyAlignment="1">
      <alignment horizontal="center"/>
    </xf>
    <xf numFmtId="1" fontId="6" fillId="2" borderId="8" xfId="0" applyNumberFormat="1" applyFont="1" applyFill="1" applyBorder="1" applyAlignment="1">
      <alignment horizontal="left"/>
    </xf>
    <xf numFmtId="1" fontId="6" fillId="3" borderId="9" xfId="0" applyNumberFormat="1" applyFont="1" applyFill="1" applyBorder="1" applyAlignment="1">
      <alignment horizontal="left"/>
    </xf>
    <xf numFmtId="1" fontId="37" fillId="3" borderId="9" xfId="0" applyNumberFormat="1" applyFont="1" applyFill="1" applyBorder="1" applyAlignment="1">
      <alignment horizontal="center"/>
    </xf>
    <xf numFmtId="1" fontId="37" fillId="3" borderId="2" xfId="0" applyNumberFormat="1" applyFont="1" applyFill="1" applyBorder="1" applyAlignment="1">
      <alignment horizontal="center"/>
    </xf>
    <xf numFmtId="169" fontId="37" fillId="3" borderId="2" xfId="0" applyNumberFormat="1" applyFont="1" applyFill="1" applyBorder="1" applyAlignment="1">
      <alignment horizontal="center"/>
    </xf>
    <xf numFmtId="168" fontId="6" fillId="2" borderId="4" xfId="0" applyNumberFormat="1" applyFont="1" applyFill="1" applyBorder="1" applyAlignment="1">
      <alignment horizontal="center"/>
    </xf>
    <xf numFmtId="1" fontId="18" fillId="2" borderId="3" xfId="0" applyNumberFormat="1" applyFont="1" applyFill="1" applyBorder="1" applyAlignment="1">
      <alignment horizontal="center"/>
    </xf>
    <xf numFmtId="1" fontId="19" fillId="2" borderId="3" xfId="0" applyNumberFormat="1" applyFont="1" applyFill="1" applyBorder="1" applyAlignment="1">
      <alignment horizontal="center"/>
    </xf>
    <xf numFmtId="1" fontId="20" fillId="2" borderId="3" xfId="0" applyNumberFormat="1" applyFont="1" applyFill="1" applyBorder="1" applyAlignment="1">
      <alignment horizontal="center"/>
    </xf>
    <xf numFmtId="1" fontId="6" fillId="3" borderId="8" xfId="0" applyNumberFormat="1" applyFont="1" applyFill="1" applyBorder="1" applyAlignment="1">
      <alignment horizontal="left"/>
    </xf>
    <xf numFmtId="1" fontId="19" fillId="3" borderId="4" xfId="0" applyNumberFormat="1" applyFont="1" applyFill="1" applyBorder="1" applyAlignment="1">
      <alignment horizontal="center"/>
    </xf>
    <xf numFmtId="1" fontId="20" fillId="3" borderId="4" xfId="0" applyNumberFormat="1" applyFont="1" applyFill="1" applyBorder="1" applyAlignment="1">
      <alignment horizontal="center"/>
    </xf>
    <xf numFmtId="1" fontId="18" fillId="3" borderId="3" xfId="0" applyNumberFormat="1" applyFont="1" applyFill="1" applyBorder="1" applyAlignment="1">
      <alignment horizontal="center"/>
    </xf>
    <xf numFmtId="168" fontId="6" fillId="3" borderId="8" xfId="0" applyNumberFormat="1" applyFont="1" applyFill="1" applyBorder="1" applyAlignment="1">
      <alignment horizontal="left"/>
    </xf>
    <xf numFmtId="168" fontId="6" fillId="3" borderId="4" xfId="0" applyNumberFormat="1" applyFont="1" applyFill="1" applyBorder="1" applyAlignment="1">
      <alignment horizontal="left"/>
    </xf>
    <xf numFmtId="166" fontId="6" fillId="0" borderId="2" xfId="0" applyNumberFormat="1" applyFont="1" applyBorder="1" applyAlignment="1">
      <alignment horizontal="center"/>
    </xf>
    <xf numFmtId="169" fontId="6" fillId="0" borderId="0" xfId="0" applyNumberFormat="1" applyFont="1" applyAlignment="1">
      <alignment horizontal="center"/>
    </xf>
    <xf numFmtId="168" fontId="6" fillId="0" borderId="11" xfId="0" applyNumberFormat="1" applyFont="1" applyBorder="1" applyAlignment="1">
      <alignment horizontal="center"/>
    </xf>
    <xf numFmtId="168" fontId="6" fillId="0" borderId="7" xfId="0" applyNumberFormat="1" applyFont="1" applyBorder="1" applyAlignment="1">
      <alignment horizontal="center"/>
    </xf>
    <xf numFmtId="168" fontId="6" fillId="0" borderId="6" xfId="0" applyNumberFormat="1" applyFont="1" applyBorder="1" applyAlignment="1">
      <alignment horizontal="center"/>
    </xf>
    <xf numFmtId="0" fontId="25" fillId="0" borderId="9" xfId="0" applyFont="1" applyBorder="1" applyAlignment="1">
      <alignment horizontal="center"/>
    </xf>
    <xf numFmtId="164" fontId="136" fillId="0" borderId="1" xfId="0" applyNumberFormat="1" applyFont="1" applyBorder="1" applyAlignment="1">
      <alignment horizontal="center"/>
    </xf>
    <xf numFmtId="164" fontId="30" fillId="0" borderId="3" xfId="0" applyNumberFormat="1" applyFont="1" applyBorder="1" applyAlignment="1">
      <alignment horizontal="center"/>
    </xf>
    <xf numFmtId="164" fontId="73" fillId="0" borderId="1" xfId="0" applyNumberFormat="1" applyFont="1" applyBorder="1"/>
    <xf numFmtId="164" fontId="28" fillId="0" borderId="0" xfId="0" applyNumberFormat="1" applyFont="1"/>
    <xf numFmtId="0" fontId="137" fillId="11" borderId="9" xfId="0" applyFont="1" applyFill="1" applyBorder="1" applyAlignment="1">
      <alignment horizontal="left"/>
    </xf>
    <xf numFmtId="173" fontId="0" fillId="0" borderId="0" xfId="0" applyNumberFormat="1" applyAlignment="1">
      <alignment horizontal="left"/>
    </xf>
    <xf numFmtId="165" fontId="6" fillId="2" borderId="2" xfId="0" applyNumberFormat="1" applyFont="1" applyFill="1" applyBorder="1" applyAlignment="1">
      <alignment horizontal="center"/>
    </xf>
    <xf numFmtId="165" fontId="135" fillId="2" borderId="0" xfId="0" applyNumberFormat="1" applyFont="1" applyFill="1" applyAlignment="1">
      <alignment horizontal="center"/>
    </xf>
    <xf numFmtId="165" fontId="6" fillId="2" borderId="1" xfId="0" applyNumberFormat="1" applyFont="1" applyFill="1" applyBorder="1" applyAlignment="1">
      <alignment horizontal="center"/>
    </xf>
    <xf numFmtId="165" fontId="32" fillId="0" borderId="1" xfId="0" applyNumberFormat="1" applyFont="1" applyBorder="1" applyAlignment="1">
      <alignment horizontal="center"/>
    </xf>
    <xf numFmtId="165" fontId="23" fillId="0" borderId="0" xfId="0" applyNumberFormat="1" applyFont="1" applyAlignment="1">
      <alignment horizontal="center"/>
    </xf>
    <xf numFmtId="165" fontId="23" fillId="0" borderId="1" xfId="0" applyNumberFormat="1" applyFont="1" applyBorder="1" applyAlignment="1">
      <alignment horizontal="center"/>
    </xf>
    <xf numFmtId="165" fontId="90" fillId="0" borderId="0" xfId="0" applyNumberFormat="1" applyFont="1" applyAlignment="1">
      <alignment horizontal="center"/>
    </xf>
    <xf numFmtId="165" fontId="34" fillId="0" borderId="1" xfId="0" applyNumberFormat="1" applyFont="1" applyBorder="1"/>
    <xf numFmtId="165" fontId="32" fillId="0" borderId="2" xfId="0" applyNumberFormat="1" applyFont="1" applyBorder="1" applyAlignment="1">
      <alignment horizontal="center"/>
    </xf>
    <xf numFmtId="165" fontId="7" fillId="0" borderId="2" xfId="0" applyNumberFormat="1" applyFont="1" applyBorder="1" applyAlignment="1">
      <alignment horizontal="center"/>
    </xf>
    <xf numFmtId="165" fontId="23" fillId="0" borderId="2" xfId="0" applyNumberFormat="1" applyFont="1" applyBorder="1" applyAlignment="1">
      <alignment horizontal="center"/>
    </xf>
    <xf numFmtId="165" fontId="32" fillId="0" borderId="0" xfId="0" applyNumberFormat="1" applyFont="1" applyAlignment="1">
      <alignment horizontal="center"/>
    </xf>
    <xf numFmtId="165" fontId="122" fillId="0" borderId="0" xfId="0" applyNumberFormat="1" applyFont="1" applyAlignment="1">
      <alignment horizontal="center"/>
    </xf>
    <xf numFmtId="164" fontId="118" fillId="0" borderId="12" xfId="0" applyNumberFormat="1" applyFont="1" applyBorder="1" applyAlignment="1">
      <alignment horizontal="center"/>
    </xf>
    <xf numFmtId="164" fontId="118" fillId="0" borderId="0" xfId="0" applyNumberFormat="1" applyFont="1" applyAlignment="1">
      <alignment horizontal="center"/>
    </xf>
    <xf numFmtId="164" fontId="7" fillId="0" borderId="11" xfId="0" applyNumberFormat="1" applyFont="1" applyBorder="1" applyAlignment="1">
      <alignment horizontal="center"/>
    </xf>
    <xf numFmtId="164" fontId="3" fillId="0" borderId="1" xfId="0" applyNumberFormat="1" applyFont="1" applyBorder="1" applyAlignment="1">
      <alignment horizontal="center"/>
    </xf>
    <xf numFmtId="164" fontId="3" fillId="0" borderId="2" xfId="0" applyNumberFormat="1" applyFont="1" applyBorder="1" applyAlignment="1">
      <alignment horizontal="center"/>
    </xf>
    <xf numFmtId="164" fontId="108" fillId="0" borderId="0" xfId="0" applyNumberFormat="1" applyFont="1" applyAlignment="1">
      <alignment horizontal="center"/>
    </xf>
    <xf numFmtId="164" fontId="115" fillId="0" borderId="12" xfId="0" applyNumberFormat="1" applyFont="1" applyBorder="1" applyAlignment="1">
      <alignment horizontal="center"/>
    </xf>
    <xf numFmtId="164" fontId="37" fillId="0" borderId="4" xfId="0" applyNumberFormat="1" applyFont="1" applyBorder="1" applyAlignment="1">
      <alignment horizontal="center"/>
    </xf>
    <xf numFmtId="164" fontId="116" fillId="0" borderId="4" xfId="0" applyNumberFormat="1" applyFont="1" applyBorder="1" applyAlignment="1">
      <alignment horizontal="center"/>
    </xf>
    <xf numFmtId="164" fontId="116" fillId="0" borderId="11" xfId="0" applyNumberFormat="1" applyFont="1" applyBorder="1" applyAlignment="1">
      <alignment horizontal="center"/>
    </xf>
    <xf numFmtId="164" fontId="37" fillId="0" borderId="0" xfId="0" applyNumberFormat="1" applyFont="1" applyAlignment="1">
      <alignment horizontal="center"/>
    </xf>
    <xf numFmtId="164" fontId="37" fillId="0" borderId="6" xfId="0" applyNumberFormat="1" applyFont="1" applyBorder="1" applyAlignment="1">
      <alignment horizontal="center"/>
    </xf>
    <xf numFmtId="164" fontId="37" fillId="0" borderId="11" xfId="0" applyNumberFormat="1" applyFont="1" applyBorder="1" applyAlignment="1">
      <alignment horizontal="center"/>
    </xf>
    <xf numFmtId="164" fontId="37" fillId="0" borderId="7" xfId="0" applyNumberFormat="1" applyFont="1" applyBorder="1" applyAlignment="1">
      <alignment horizontal="center"/>
    </xf>
    <xf numFmtId="164" fontId="108" fillId="0" borderId="11" xfId="0" applyNumberFormat="1" applyFont="1" applyBorder="1" applyAlignment="1">
      <alignment horizontal="center"/>
    </xf>
    <xf numFmtId="164" fontId="116" fillId="0" borderId="6" xfId="0" applyNumberFormat="1" applyFont="1" applyBorder="1" applyAlignment="1">
      <alignment horizontal="center"/>
    </xf>
    <xf numFmtId="164" fontId="37" fillId="0" borderId="2" xfId="0" applyNumberFormat="1" applyFont="1" applyBorder="1" applyAlignment="1">
      <alignment horizontal="center"/>
    </xf>
    <xf numFmtId="164" fontId="108" fillId="0" borderId="1" xfId="0" applyNumberFormat="1" applyFont="1" applyBorder="1" applyAlignment="1">
      <alignment horizontal="center"/>
    </xf>
    <xf numFmtId="164" fontId="108" fillId="0" borderId="6" xfId="0" applyNumberFormat="1" applyFont="1" applyBorder="1" applyAlignment="1">
      <alignment horizontal="center"/>
    </xf>
    <xf numFmtId="164" fontId="108" fillId="0" borderId="7" xfId="0" applyNumberFormat="1" applyFont="1" applyBorder="1" applyAlignment="1">
      <alignment horizontal="center"/>
    </xf>
    <xf numFmtId="164" fontId="108" fillId="0" borderId="2" xfId="0" applyNumberFormat="1" applyFont="1" applyBorder="1" applyAlignment="1">
      <alignment horizontal="center"/>
    </xf>
    <xf numFmtId="164" fontId="50" fillId="0" borderId="12" xfId="0" applyNumberFormat="1" applyFont="1" applyBorder="1" applyAlignment="1">
      <alignment horizontal="center"/>
    </xf>
    <xf numFmtId="164" fontId="35" fillId="0" borderId="3" xfId="0" applyNumberFormat="1" applyFont="1" applyBorder="1" applyAlignment="1">
      <alignment horizontal="center"/>
    </xf>
    <xf numFmtId="164" fontId="35" fillId="0" borderId="4" xfId="0" applyNumberFormat="1" applyFont="1" applyBorder="1" applyAlignment="1">
      <alignment horizontal="center"/>
    </xf>
    <xf numFmtId="164" fontId="35" fillId="0" borderId="8" xfId="0" applyNumberFormat="1" applyFont="1" applyBorder="1" applyAlignment="1">
      <alignment horizontal="center"/>
    </xf>
    <xf numFmtId="164" fontId="35" fillId="0" borderId="5" xfId="0" applyNumberFormat="1" applyFont="1" applyBorder="1" applyAlignment="1">
      <alignment horizontal="center"/>
    </xf>
    <xf numFmtId="164" fontId="50" fillId="0" borderId="4" xfId="0" applyNumberFormat="1" applyFont="1" applyBorder="1" applyAlignment="1">
      <alignment horizontal="center"/>
    </xf>
    <xf numFmtId="164" fontId="35" fillId="0" borderId="10" xfId="0" applyNumberFormat="1" applyFont="1" applyBorder="1" applyAlignment="1">
      <alignment horizontal="center"/>
    </xf>
    <xf numFmtId="164" fontId="48" fillId="0" borderId="3" xfId="0" applyNumberFormat="1" applyFont="1" applyBorder="1" applyAlignment="1">
      <alignment horizontal="center"/>
    </xf>
    <xf numFmtId="164" fontId="35" fillId="0" borderId="9" xfId="0" applyNumberFormat="1" applyFont="1" applyBorder="1" applyAlignment="1">
      <alignment horizontal="center"/>
    </xf>
    <xf numFmtId="164" fontId="103" fillId="0" borderId="5" xfId="0" applyNumberFormat="1" applyFont="1" applyBorder="1" applyAlignment="1">
      <alignment horizontal="center"/>
    </xf>
    <xf numFmtId="164" fontId="44" fillId="0" borderId="3" xfId="0" applyNumberFormat="1" applyFont="1" applyBorder="1" applyAlignment="1">
      <alignment horizontal="center"/>
    </xf>
    <xf numFmtId="164" fontId="44" fillId="0" borderId="4" xfId="0" applyNumberFormat="1" applyFont="1" applyBorder="1" applyAlignment="1">
      <alignment horizontal="center"/>
    </xf>
    <xf numFmtId="0" fontId="21" fillId="0" borderId="4" xfId="0" applyFont="1" applyBorder="1" applyAlignment="1">
      <alignment horizontal="center"/>
    </xf>
    <xf numFmtId="164" fontId="121" fillId="0" borderId="3" xfId="0" applyNumberFormat="1" applyFont="1" applyBorder="1" applyAlignment="1">
      <alignment horizontal="center"/>
    </xf>
    <xf numFmtId="164" fontId="102" fillId="0" borderId="3" xfId="0" applyNumberFormat="1" applyFont="1" applyBorder="1" applyAlignment="1">
      <alignment horizontal="center"/>
    </xf>
    <xf numFmtId="2" fontId="98" fillId="8" borderId="4" xfId="0" applyNumberFormat="1" applyFont="1" applyFill="1" applyBorder="1" applyAlignment="1">
      <alignment horizontal="center"/>
    </xf>
    <xf numFmtId="9" fontId="17" fillId="0" borderId="0" xfId="0" applyNumberFormat="1" applyFont="1" applyAlignment="1">
      <alignment horizontal="center"/>
    </xf>
    <xf numFmtId="164" fontId="139" fillId="0" borderId="4" xfId="0" applyNumberFormat="1" applyFont="1" applyBorder="1" applyAlignment="1">
      <alignment horizontal="center"/>
    </xf>
    <xf numFmtId="164" fontId="17" fillId="9" borderId="4" xfId="0" applyNumberFormat="1" applyFont="1" applyFill="1" applyBorder="1" applyAlignment="1">
      <alignment horizontal="center"/>
    </xf>
    <xf numFmtId="0" fontId="35" fillId="0" borderId="3" xfId="0" applyFont="1" applyBorder="1" applyAlignment="1">
      <alignment horizontal="center"/>
    </xf>
    <xf numFmtId="44" fontId="35" fillId="0" borderId="0" xfId="0" applyNumberFormat="1" applyFont="1" applyAlignment="1">
      <alignment horizontal="center"/>
    </xf>
    <xf numFmtId="1" fontId="9" fillId="0" borderId="4" xfId="0" applyNumberFormat="1" applyFont="1" applyBorder="1" applyAlignment="1">
      <alignment horizontal="center"/>
    </xf>
    <xf numFmtId="164" fontId="138" fillId="0" borderId="1" xfId="0" applyNumberFormat="1" applyFont="1" applyBorder="1" applyAlignment="1">
      <alignment horizontal="left"/>
    </xf>
    <xf numFmtId="164" fontId="66" fillId="8" borderId="4" xfId="0" applyNumberFormat="1" applyFont="1" applyFill="1" applyBorder="1" applyAlignment="1">
      <alignment horizontal="center"/>
    </xf>
    <xf numFmtId="1" fontId="19" fillId="0" borderId="3" xfId="0" applyNumberFormat="1" applyFont="1" applyBorder="1" applyAlignment="1">
      <alignment horizontal="center"/>
    </xf>
    <xf numFmtId="1" fontId="19" fillId="0" borderId="5" xfId="0" applyNumberFormat="1" applyFont="1" applyBorder="1" applyAlignment="1">
      <alignment horizontal="center"/>
    </xf>
    <xf numFmtId="0" fontId="119" fillId="0" borderId="8" xfId="0" applyFont="1" applyBorder="1" applyAlignment="1">
      <alignment horizontal="center"/>
    </xf>
    <xf numFmtId="1" fontId="120" fillId="0" borderId="9" xfId="0" applyNumberFormat="1" applyFont="1" applyBorder="1" applyAlignment="1">
      <alignment horizontal="left"/>
    </xf>
    <xf numFmtId="1" fontId="120" fillId="0" borderId="2" xfId="0" applyNumberFormat="1" applyFont="1" applyBorder="1" applyAlignment="1">
      <alignment horizontal="center"/>
    </xf>
    <xf numFmtId="49" fontId="120" fillId="0" borderId="2" xfId="0" applyNumberFormat="1" applyFont="1" applyBorder="1" applyAlignment="1">
      <alignment horizontal="center"/>
    </xf>
    <xf numFmtId="1" fontId="122" fillId="0" borderId="2" xfId="0" applyNumberFormat="1" applyFont="1" applyBorder="1" applyAlignment="1">
      <alignment horizontal="center"/>
    </xf>
    <xf numFmtId="0" fontId="122" fillId="0" borderId="2" xfId="0" applyFont="1" applyBorder="1"/>
    <xf numFmtId="4" fontId="122" fillId="0" borderId="2" xfId="0" applyNumberFormat="1" applyFont="1" applyBorder="1" applyAlignment="1">
      <alignment horizontal="center"/>
    </xf>
    <xf numFmtId="165" fontId="120" fillId="6" borderId="2" xfId="0" applyNumberFormat="1" applyFont="1" applyFill="1" applyBorder="1" applyAlignment="1">
      <alignment horizontal="center"/>
    </xf>
    <xf numFmtId="1" fontId="120" fillId="0" borderId="9" xfId="0" applyNumberFormat="1" applyFont="1" applyBorder="1" applyAlignment="1">
      <alignment horizontal="center"/>
    </xf>
    <xf numFmtId="166" fontId="122" fillId="0" borderId="2" xfId="0" applyNumberFormat="1" applyFont="1" applyBorder="1" applyAlignment="1">
      <alignment horizontal="center"/>
    </xf>
    <xf numFmtId="10" fontId="120" fillId="0" borderId="0" xfId="0" applyNumberFormat="1" applyFont="1" applyAlignment="1">
      <alignment horizontal="center"/>
    </xf>
    <xf numFmtId="10" fontId="120" fillId="6" borderId="2" xfId="0" applyNumberFormat="1" applyFont="1" applyFill="1" applyBorder="1" applyAlignment="1">
      <alignment horizontal="center"/>
    </xf>
    <xf numFmtId="164" fontId="122" fillId="6" borderId="0" xfId="0" applyNumberFormat="1" applyFont="1" applyFill="1" applyAlignment="1">
      <alignment horizontal="center"/>
    </xf>
    <xf numFmtId="10" fontId="122" fillId="0" borderId="2" xfId="0" applyNumberFormat="1" applyFont="1" applyBorder="1" applyAlignment="1">
      <alignment horizontal="center"/>
    </xf>
    <xf numFmtId="164" fontId="122" fillId="0" borderId="9" xfId="0" applyNumberFormat="1" applyFont="1" applyBorder="1" applyAlignment="1">
      <alignment horizontal="center"/>
    </xf>
    <xf numFmtId="164" fontId="122" fillId="6" borderId="2" xfId="0" applyNumberFormat="1" applyFont="1" applyFill="1" applyBorder="1" applyAlignment="1">
      <alignment horizontal="center"/>
    </xf>
    <xf numFmtId="0" fontId="119" fillId="0" borderId="12" xfId="0" applyFont="1" applyBorder="1"/>
    <xf numFmtId="168" fontId="120" fillId="0" borderId="6" xfId="0" applyNumberFormat="1" applyFont="1" applyBorder="1" applyAlignment="1">
      <alignment horizontal="center"/>
    </xf>
    <xf numFmtId="164" fontId="122" fillId="12" borderId="0" xfId="0" applyNumberFormat="1" applyFont="1" applyFill="1" applyAlignment="1">
      <alignment horizontal="center"/>
    </xf>
    <xf numFmtId="0" fontId="6" fillId="0" borderId="2" xfId="0" applyFont="1" applyBorder="1" applyAlignment="1">
      <alignment horizontal="center"/>
    </xf>
    <xf numFmtId="0" fontId="35" fillId="0" borderId="0" xfId="0" applyFont="1" applyAlignment="1">
      <alignment horizontal="left"/>
    </xf>
    <xf numFmtId="164" fontId="35" fillId="11" borderId="5" xfId="0" applyNumberFormat="1" applyFont="1" applyFill="1" applyBorder="1" applyAlignment="1">
      <alignment horizontal="center"/>
    </xf>
    <xf numFmtId="2" fontId="75" fillId="0" borderId="4" xfId="0" applyNumberFormat="1" applyFont="1" applyBorder="1" applyAlignment="1">
      <alignment horizontal="center"/>
    </xf>
    <xf numFmtId="0" fontId="66" fillId="8" borderId="4" xfId="0" applyFont="1" applyFill="1" applyBorder="1" applyAlignment="1">
      <alignment horizontal="center"/>
    </xf>
    <xf numFmtId="2" fontId="66" fillId="8" borderId="4" xfId="0" applyNumberFormat="1" applyFont="1" applyFill="1" applyBorder="1" applyAlignment="1">
      <alignment horizontal="center"/>
    </xf>
    <xf numFmtId="0" fontId="0" fillId="0" borderId="23" xfId="0" applyBorder="1" applyAlignment="1">
      <alignment horizontal="center"/>
    </xf>
    <xf numFmtId="0" fontId="61" fillId="0" borderId="23" xfId="0" applyFont="1" applyBorder="1" applyAlignment="1">
      <alignment horizontal="center"/>
    </xf>
    <xf numFmtId="0" fontId="0" fillId="0" borderId="24" xfId="0" applyBorder="1" applyAlignment="1">
      <alignment horizontal="center"/>
    </xf>
    <xf numFmtId="164" fontId="6" fillId="9" borderId="0" xfId="0" applyNumberFormat="1" applyFont="1" applyFill="1" applyAlignment="1">
      <alignment horizontal="center"/>
    </xf>
    <xf numFmtId="0" fontId="3" fillId="8" borderId="6" xfId="0" applyFont="1" applyFill="1" applyBorder="1" applyAlignment="1">
      <alignment horizontal="center"/>
    </xf>
    <xf numFmtId="165" fontId="7" fillId="13" borderId="0" xfId="0" applyNumberFormat="1" applyFont="1" applyFill="1" applyAlignment="1">
      <alignment horizontal="center"/>
    </xf>
    <xf numFmtId="0" fontId="3" fillId="0" borderId="1" xfId="0" applyFont="1" applyBorder="1"/>
    <xf numFmtId="0" fontId="3" fillId="0" borderId="10" xfId="0" applyFont="1" applyBorder="1"/>
    <xf numFmtId="164" fontId="127" fillId="8" borderId="4" xfId="0" applyNumberFormat="1" applyFont="1" applyFill="1" applyBorder="1" applyAlignment="1">
      <alignment horizontal="center"/>
    </xf>
    <xf numFmtId="164" fontId="6" fillId="9" borderId="6" xfId="0" applyNumberFormat="1" applyFont="1" applyFill="1" applyBorder="1" applyAlignment="1">
      <alignment horizontal="center"/>
    </xf>
    <xf numFmtId="0" fontId="9" fillId="0" borderId="4" xfId="0" applyFont="1" applyBorder="1" applyAlignment="1">
      <alignment horizontal="center"/>
    </xf>
    <xf numFmtId="164" fontId="7" fillId="13" borderId="4" xfId="0" applyNumberFormat="1" applyFont="1" applyFill="1" applyBorder="1" applyAlignment="1">
      <alignment horizontal="center"/>
    </xf>
    <xf numFmtId="0" fontId="21" fillId="0" borderId="7" xfId="0" applyFont="1" applyBorder="1" applyAlignment="1">
      <alignment horizontal="center"/>
    </xf>
    <xf numFmtId="0" fontId="21" fillId="0" borderId="3" xfId="0" applyFont="1" applyBorder="1" applyAlignment="1">
      <alignment horizontal="center"/>
    </xf>
    <xf numFmtId="164" fontId="21" fillId="0" borderId="3" xfId="0" applyNumberFormat="1" applyFont="1" applyBorder="1" applyAlignment="1">
      <alignment horizontal="center"/>
    </xf>
    <xf numFmtId="164" fontId="3" fillId="8" borderId="5" xfId="0" applyNumberFormat="1" applyFont="1" applyFill="1" applyBorder="1" applyAlignment="1">
      <alignment horizontal="center"/>
    </xf>
    <xf numFmtId="164" fontId="127" fillId="8" borderId="0" xfId="0" applyNumberFormat="1" applyFont="1" applyFill="1" applyAlignment="1">
      <alignment horizontal="center"/>
    </xf>
    <xf numFmtId="164" fontId="3" fillId="8" borderId="1" xfId="0" applyNumberFormat="1" applyFont="1" applyFill="1" applyBorder="1" applyAlignment="1">
      <alignment horizontal="center"/>
    </xf>
    <xf numFmtId="164" fontId="3" fillId="0" borderId="3" xfId="0" applyNumberFormat="1" applyFont="1" applyBorder="1" applyAlignment="1">
      <alignment horizontal="left"/>
    </xf>
    <xf numFmtId="164" fontId="0" fillId="0" borderId="3" xfId="0" applyNumberFormat="1" applyBorder="1" applyAlignment="1">
      <alignment horizontal="center"/>
    </xf>
    <xf numFmtId="164" fontId="75" fillId="0" borderId="3" xfId="0" applyNumberFormat="1" applyFont="1" applyBorder="1" applyAlignment="1">
      <alignment horizontal="left"/>
    </xf>
    <xf numFmtId="164" fontId="75" fillId="0" borderId="3" xfId="0" applyNumberFormat="1" applyFont="1" applyBorder="1" applyAlignment="1">
      <alignment horizontal="right"/>
    </xf>
    <xf numFmtId="0" fontId="2" fillId="8" borderId="5" xfId="0" applyFont="1" applyFill="1" applyBorder="1" applyAlignment="1">
      <alignment horizontal="center"/>
    </xf>
    <xf numFmtId="164" fontId="99" fillId="8" borderId="4" xfId="0" applyNumberFormat="1" applyFont="1" applyFill="1" applyBorder="1" applyAlignment="1">
      <alignment horizontal="center"/>
    </xf>
    <xf numFmtId="0" fontId="71" fillId="0" borderId="1" xfId="0" applyFont="1" applyBorder="1" applyAlignment="1">
      <alignment horizontal="left"/>
    </xf>
    <xf numFmtId="0" fontId="2" fillId="8" borderId="4" xfId="0" applyFont="1" applyFill="1" applyBorder="1" applyAlignment="1">
      <alignment horizontal="center"/>
    </xf>
    <xf numFmtId="8" fontId="3" fillId="8" borderId="4" xfId="0" applyNumberFormat="1" applyFont="1" applyFill="1" applyBorder="1" applyAlignment="1">
      <alignment horizontal="center"/>
    </xf>
    <xf numFmtId="0" fontId="66" fillId="8" borderId="4" xfId="0" applyFont="1" applyFill="1" applyBorder="1" applyAlignment="1">
      <alignment horizontal="center" wrapText="1"/>
    </xf>
    <xf numFmtId="164" fontId="0" fillId="8" borderId="4" xfId="0" applyNumberFormat="1" applyFill="1" applyBorder="1" applyAlignment="1">
      <alignment horizontal="center"/>
    </xf>
    <xf numFmtId="0" fontId="94" fillId="8" borderId="4" xfId="0" applyFont="1" applyFill="1" applyBorder="1" applyAlignment="1">
      <alignment horizontal="center"/>
    </xf>
    <xf numFmtId="0" fontId="112" fillId="8" borderId="4" xfId="0" applyFont="1" applyFill="1" applyBorder="1" applyAlignment="1">
      <alignment horizontal="center"/>
    </xf>
    <xf numFmtId="0" fontId="99" fillId="8" borderId="4" xfId="0" applyFont="1" applyFill="1" applyBorder="1" applyAlignment="1">
      <alignment horizontal="center"/>
    </xf>
    <xf numFmtId="0" fontId="34" fillId="8" borderId="4" xfId="0" applyFont="1" applyFill="1" applyBorder="1" applyAlignment="1">
      <alignment horizontal="center"/>
    </xf>
    <xf numFmtId="0" fontId="107" fillId="8" borderId="4" xfId="0" applyFont="1" applyFill="1" applyBorder="1" applyAlignment="1">
      <alignment horizontal="center"/>
    </xf>
    <xf numFmtId="0" fontId="104" fillId="8" borderId="4" xfId="0" applyFont="1" applyFill="1" applyBorder="1" applyAlignment="1">
      <alignment horizontal="center"/>
    </xf>
    <xf numFmtId="44" fontId="2" fillId="8" borderId="4" xfId="0" applyNumberFormat="1" applyFont="1" applyFill="1" applyBorder="1" applyAlignment="1">
      <alignment horizontal="center"/>
    </xf>
    <xf numFmtId="0" fontId="101" fillId="8" borderId="4" xfId="0" applyFont="1" applyFill="1" applyBorder="1" applyAlignment="1">
      <alignment horizontal="center"/>
    </xf>
    <xf numFmtId="0" fontId="114" fillId="0" borderId="0" xfId="0" applyFont="1" applyAlignment="1">
      <alignment horizontal="left"/>
    </xf>
    <xf numFmtId="164" fontId="101" fillId="8" borderId="4" xfId="0" applyNumberFormat="1" applyFont="1" applyFill="1" applyBorder="1" applyAlignment="1">
      <alignment horizontal="center"/>
    </xf>
    <xf numFmtId="0" fontId="0" fillId="8" borderId="4" xfId="0" applyFill="1" applyBorder="1" applyAlignment="1">
      <alignment horizontal="center"/>
    </xf>
    <xf numFmtId="164" fontId="124" fillId="8" borderId="7" xfId="0" applyNumberFormat="1" applyFont="1" applyFill="1" applyBorder="1" applyAlignment="1">
      <alignment horizontal="center"/>
    </xf>
    <xf numFmtId="164" fontId="125" fillId="8" borderId="6" xfId="0" applyNumberFormat="1" applyFont="1" applyFill="1" applyBorder="1" applyAlignment="1">
      <alignment horizontal="center"/>
    </xf>
    <xf numFmtId="0" fontId="3" fillId="8" borderId="8" xfId="0" applyFont="1" applyFill="1" applyBorder="1" applyAlignment="1">
      <alignment horizontal="center" wrapText="1"/>
    </xf>
    <xf numFmtId="8" fontId="3" fillId="8" borderId="5" xfId="0" applyNumberFormat="1" applyFont="1" applyFill="1" applyBorder="1" applyAlignment="1">
      <alignment horizontal="center"/>
    </xf>
    <xf numFmtId="4" fontId="6" fillId="0" borderId="1" xfId="0" applyNumberFormat="1" applyFont="1" applyBorder="1" applyAlignment="1">
      <alignment horizontal="center"/>
    </xf>
    <xf numFmtId="164" fontId="65" fillId="0" borderId="1" xfId="0" applyNumberFormat="1" applyFont="1" applyBorder="1" applyAlignment="1">
      <alignment horizontal="center"/>
    </xf>
    <xf numFmtId="10" fontId="6" fillId="0" borderId="1" xfId="0" applyNumberFormat="1" applyFont="1" applyBorder="1" applyAlignment="1">
      <alignment horizontal="center"/>
    </xf>
    <xf numFmtId="0" fontId="126" fillId="8" borderId="8" xfId="0" applyFont="1" applyFill="1" applyBorder="1" applyAlignment="1">
      <alignment horizontal="center"/>
    </xf>
    <xf numFmtId="2" fontId="126" fillId="8" borderId="4" xfId="0" applyNumberFormat="1" applyFont="1" applyFill="1" applyBorder="1" applyAlignment="1">
      <alignment horizontal="center"/>
    </xf>
    <xf numFmtId="164" fontId="126" fillId="8" borderId="5" xfId="0" applyNumberFormat="1" applyFont="1" applyFill="1" applyBorder="1" applyAlignment="1">
      <alignment horizontal="center"/>
    </xf>
    <xf numFmtId="164" fontId="124" fillId="8" borderId="4" xfId="0" applyNumberFormat="1" applyFont="1" applyFill="1" applyBorder="1" applyAlignment="1">
      <alignment horizontal="center"/>
    </xf>
    <xf numFmtId="2" fontId="3" fillId="8" borderId="5" xfId="0" applyNumberFormat="1" applyFont="1" applyFill="1" applyBorder="1" applyAlignment="1">
      <alignment horizontal="center"/>
    </xf>
    <xf numFmtId="164" fontId="126" fillId="8" borderId="8" xfId="0" applyNumberFormat="1" applyFont="1" applyFill="1" applyBorder="1" applyAlignment="1">
      <alignment horizontal="center"/>
    </xf>
    <xf numFmtId="0" fontId="66" fillId="8" borderId="5" xfId="0" applyFont="1" applyFill="1" applyBorder="1" applyAlignment="1">
      <alignment horizontal="center"/>
    </xf>
    <xf numFmtId="1" fontId="91" fillId="0" borderId="9" xfId="0" applyNumberFormat="1" applyFont="1" applyBorder="1" applyAlignment="1">
      <alignment horizontal="left"/>
    </xf>
    <xf numFmtId="1" fontId="140" fillId="0" borderId="0" xfId="0" applyNumberFormat="1" applyFont="1" applyAlignment="1">
      <alignment horizontal="center"/>
    </xf>
    <xf numFmtId="164" fontId="7" fillId="2" borderId="4" xfId="0" applyNumberFormat="1" applyFont="1" applyFill="1" applyBorder="1" applyAlignment="1">
      <alignment horizontal="center"/>
    </xf>
    <xf numFmtId="164" fontId="7" fillId="9" borderId="0" xfId="0" applyNumberFormat="1" applyFont="1" applyFill="1" applyAlignment="1">
      <alignment horizontal="center"/>
    </xf>
    <xf numFmtId="165" fontId="90" fillId="6" borderId="0" xfId="0" applyNumberFormat="1" applyFont="1" applyFill="1" applyAlignment="1">
      <alignment horizontal="center"/>
    </xf>
    <xf numFmtId="166" fontId="90" fillId="0" borderId="0" xfId="0" applyNumberFormat="1" applyFont="1" applyAlignment="1">
      <alignment horizontal="center"/>
    </xf>
    <xf numFmtId="10" fontId="91" fillId="0" borderId="0" xfId="0" applyNumberFormat="1" applyFont="1" applyAlignment="1">
      <alignment horizontal="center"/>
    </xf>
    <xf numFmtId="10" fontId="90" fillId="6" borderId="0" xfId="0" applyNumberFormat="1" applyFont="1" applyFill="1" applyAlignment="1">
      <alignment horizontal="center"/>
    </xf>
    <xf numFmtId="164" fontId="90" fillId="6" borderId="0" xfId="0" applyNumberFormat="1" applyFont="1" applyFill="1" applyAlignment="1">
      <alignment horizontal="center"/>
    </xf>
    <xf numFmtId="164" fontId="90" fillId="0" borderId="3" xfId="0" applyNumberFormat="1" applyFont="1" applyBorder="1" applyAlignment="1">
      <alignment horizontal="center"/>
    </xf>
    <xf numFmtId="1" fontId="9" fillId="2" borderId="4" xfId="0" applyNumberFormat="1" applyFont="1" applyFill="1" applyBorder="1" applyAlignment="1">
      <alignment horizontal="center"/>
    </xf>
    <xf numFmtId="0" fontId="7" fillId="8" borderId="0" xfId="0" applyFont="1" applyFill="1" applyAlignment="1">
      <alignment horizontal="center"/>
    </xf>
    <xf numFmtId="164" fontId="29" fillId="0" borderId="8" xfId="0" applyNumberFormat="1" applyFont="1" applyBorder="1" applyAlignment="1">
      <alignment horizontal="center"/>
    </xf>
    <xf numFmtId="164" fontId="17" fillId="0" borderId="5" xfId="0" applyNumberFormat="1" applyFont="1" applyBorder="1" applyAlignment="1">
      <alignment horizontal="center"/>
    </xf>
    <xf numFmtId="164" fontId="7" fillId="0" borderId="5" xfId="0" applyNumberFormat="1" applyFont="1" applyBorder="1" applyAlignment="1">
      <alignment horizontal="center"/>
    </xf>
    <xf numFmtId="1" fontId="19" fillId="0" borderId="8" xfId="0" applyNumberFormat="1" applyFont="1" applyBorder="1" applyAlignment="1">
      <alignment horizontal="center"/>
    </xf>
    <xf numFmtId="164" fontId="29" fillId="0" borderId="7" xfId="0" applyNumberFormat="1" applyFont="1" applyBorder="1" applyAlignment="1">
      <alignment horizontal="center"/>
    </xf>
    <xf numFmtId="164" fontId="113" fillId="0" borderId="8" xfId="0" applyNumberFormat="1" applyFont="1" applyBorder="1" applyAlignment="1">
      <alignment horizontal="center"/>
    </xf>
    <xf numFmtId="1" fontId="19" fillId="0" borderId="9" xfId="0" applyNumberFormat="1" applyFont="1" applyBorder="1" applyAlignment="1">
      <alignment horizontal="center"/>
    </xf>
    <xf numFmtId="0" fontId="35" fillId="0" borderId="9" xfId="0" applyFont="1" applyBorder="1" applyAlignment="1">
      <alignment horizontal="center"/>
    </xf>
    <xf numFmtId="164" fontId="59" fillId="11" borderId="1" xfId="0" applyNumberFormat="1" applyFont="1" applyFill="1" applyBorder="1" applyAlignment="1">
      <alignment horizontal="center"/>
    </xf>
    <xf numFmtId="1" fontId="91" fillId="0" borderId="2" xfId="0" applyNumberFormat="1" applyFont="1" applyBorder="1" applyAlignment="1">
      <alignment horizontal="center"/>
    </xf>
    <xf numFmtId="164" fontId="90" fillId="0" borderId="2" xfId="0" applyNumberFormat="1" applyFont="1" applyBorder="1" applyAlignment="1">
      <alignment horizontal="center"/>
    </xf>
    <xf numFmtId="49" fontId="91" fillId="0" borderId="2" xfId="0" applyNumberFormat="1" applyFont="1" applyBorder="1" applyAlignment="1">
      <alignment horizontal="center"/>
    </xf>
    <xf numFmtId="1" fontId="90" fillId="0" borderId="2" xfId="0" applyNumberFormat="1" applyFont="1" applyBorder="1" applyAlignment="1">
      <alignment horizontal="center"/>
    </xf>
    <xf numFmtId="0" fontId="90" fillId="0" borderId="2" xfId="0" applyFont="1" applyBorder="1"/>
    <xf numFmtId="4" fontId="90" fillId="0" borderId="2" xfId="0" applyNumberFormat="1" applyFont="1" applyBorder="1" applyAlignment="1">
      <alignment horizontal="center"/>
    </xf>
    <xf numFmtId="164" fontId="91" fillId="0" borderId="2" xfId="0" applyNumberFormat="1" applyFont="1" applyBorder="1" applyAlignment="1">
      <alignment horizontal="center"/>
    </xf>
    <xf numFmtId="1" fontId="91" fillId="0" borderId="9" xfId="0" applyNumberFormat="1" applyFont="1" applyBorder="1" applyAlignment="1">
      <alignment horizontal="center"/>
    </xf>
    <xf numFmtId="166" fontId="90" fillId="0" borderId="2" xfId="0" applyNumberFormat="1" applyFont="1" applyBorder="1" applyAlignment="1">
      <alignment horizontal="center"/>
    </xf>
    <xf numFmtId="0" fontId="90" fillId="0" borderId="2" xfId="0" applyFont="1" applyBorder="1" applyAlignment="1">
      <alignment horizontal="center"/>
    </xf>
    <xf numFmtId="10" fontId="90" fillId="0" borderId="2" xfId="0" applyNumberFormat="1" applyFont="1" applyBorder="1" applyAlignment="1">
      <alignment horizontal="center"/>
    </xf>
    <xf numFmtId="164" fontId="90" fillId="0" borderId="9" xfId="0" applyNumberFormat="1" applyFont="1" applyBorder="1" applyAlignment="1">
      <alignment horizontal="center"/>
    </xf>
    <xf numFmtId="164" fontId="92" fillId="0" borderId="8" xfId="0" applyNumberFormat="1" applyFont="1" applyBorder="1" applyAlignment="1">
      <alignment horizontal="left"/>
    </xf>
    <xf numFmtId="164" fontId="93" fillId="0" borderId="0" xfId="0" applyNumberFormat="1" applyFont="1" applyAlignment="1">
      <alignment horizontal="right"/>
    </xf>
    <xf numFmtId="0" fontId="93" fillId="0" borderId="12" xfId="0" applyFont="1" applyBorder="1"/>
    <xf numFmtId="0" fontId="3" fillId="0" borderId="7" xfId="0" applyFont="1" applyBorder="1"/>
    <xf numFmtId="164" fontId="91" fillId="0" borderId="17" xfId="0" applyNumberFormat="1" applyFont="1" applyBorder="1" applyAlignment="1">
      <alignment horizontal="center"/>
    </xf>
    <xf numFmtId="164" fontId="90" fillId="12" borderId="0" xfId="0" applyNumberFormat="1" applyFont="1" applyFill="1" applyAlignment="1">
      <alignment horizontal="center"/>
    </xf>
    <xf numFmtId="0" fontId="92" fillId="0" borderId="4" xfId="0" applyFont="1" applyBorder="1" applyAlignment="1">
      <alignment horizontal="left"/>
    </xf>
    <xf numFmtId="2" fontId="91" fillId="0" borderId="0" xfId="0" applyNumberFormat="1" applyFont="1" applyAlignment="1">
      <alignment horizontal="center"/>
    </xf>
    <xf numFmtId="1" fontId="90" fillId="0" borderId="0" xfId="0" applyNumberFormat="1" applyFont="1"/>
    <xf numFmtId="1" fontId="90" fillId="0" borderId="3" xfId="0" applyNumberFormat="1" applyFont="1" applyBorder="1"/>
    <xf numFmtId="164" fontId="93" fillId="0" borderId="0" xfId="0" applyNumberFormat="1" applyFont="1" applyAlignment="1">
      <alignment horizontal="center"/>
    </xf>
    <xf numFmtId="0" fontId="93" fillId="0" borderId="1" xfId="0" applyFont="1" applyBorder="1"/>
    <xf numFmtId="1" fontId="91" fillId="0" borderId="10" xfId="0" applyNumberFormat="1" applyFont="1" applyBorder="1" applyAlignment="1">
      <alignment horizontal="left"/>
    </xf>
    <xf numFmtId="1" fontId="91" fillId="0" borderId="1" xfId="0" applyNumberFormat="1" applyFont="1" applyBorder="1" applyAlignment="1">
      <alignment horizontal="center"/>
    </xf>
    <xf numFmtId="164" fontId="91" fillId="0" borderId="1" xfId="0" applyNumberFormat="1" applyFont="1" applyBorder="1" applyAlignment="1">
      <alignment horizontal="center"/>
    </xf>
    <xf numFmtId="164" fontId="90" fillId="0" borderId="1" xfId="0" applyNumberFormat="1" applyFont="1" applyBorder="1" applyAlignment="1">
      <alignment horizontal="center"/>
    </xf>
    <xf numFmtId="1" fontId="90" fillId="0" borderId="1" xfId="0" applyNumberFormat="1" applyFont="1" applyBorder="1" applyAlignment="1">
      <alignment horizontal="center"/>
    </xf>
    <xf numFmtId="0" fontId="90" fillId="0" borderId="1" xfId="0" applyFont="1" applyBorder="1"/>
    <xf numFmtId="165" fontId="90" fillId="6" borderId="15" xfId="0" applyNumberFormat="1" applyFont="1" applyFill="1" applyBorder="1" applyAlignment="1">
      <alignment horizontal="center"/>
    </xf>
    <xf numFmtId="168" fontId="91" fillId="0" borderId="1" xfId="0" applyNumberFormat="1" applyFont="1" applyBorder="1" applyAlignment="1">
      <alignment horizontal="center"/>
    </xf>
    <xf numFmtId="168" fontId="91" fillId="0" borderId="11" xfId="0" applyNumberFormat="1" applyFont="1" applyBorder="1" applyAlignment="1">
      <alignment horizontal="center"/>
    </xf>
    <xf numFmtId="1" fontId="91" fillId="0" borderId="10" xfId="0" applyNumberFormat="1" applyFont="1" applyBorder="1" applyAlignment="1">
      <alignment horizontal="center"/>
    </xf>
    <xf numFmtId="166" fontId="90" fillId="0" borderId="1" xfId="0" applyNumberFormat="1" applyFont="1" applyBorder="1" applyAlignment="1">
      <alignment horizontal="center"/>
    </xf>
    <xf numFmtId="169" fontId="90" fillId="0" borderId="1" xfId="0" applyNumberFormat="1" applyFont="1" applyBorder="1" applyAlignment="1">
      <alignment horizontal="center"/>
    </xf>
    <xf numFmtId="165" fontId="90" fillId="0" borderId="1" xfId="0" applyNumberFormat="1" applyFont="1" applyBorder="1" applyAlignment="1">
      <alignment horizontal="center"/>
    </xf>
    <xf numFmtId="10" fontId="91" fillId="0" borderId="1" xfId="0" applyNumberFormat="1" applyFont="1" applyBorder="1" applyAlignment="1">
      <alignment horizontal="center"/>
    </xf>
    <xf numFmtId="10" fontId="90" fillId="6" borderId="15" xfId="0" applyNumberFormat="1" applyFont="1" applyFill="1" applyBorder="1" applyAlignment="1">
      <alignment horizontal="center"/>
    </xf>
    <xf numFmtId="0" fontId="90" fillId="0" borderId="1" xfId="0" applyFont="1" applyBorder="1" applyAlignment="1">
      <alignment horizontal="center"/>
    </xf>
    <xf numFmtId="10" fontId="90" fillId="0" borderId="1" xfId="0" applyNumberFormat="1" applyFont="1" applyBorder="1" applyAlignment="1">
      <alignment horizontal="center"/>
    </xf>
    <xf numFmtId="164" fontId="90" fillId="0" borderId="10" xfId="0" applyNumberFormat="1" applyFont="1" applyBorder="1" applyAlignment="1">
      <alignment horizontal="center"/>
    </xf>
    <xf numFmtId="164" fontId="91" fillId="11" borderId="1" xfId="0" applyNumberFormat="1" applyFont="1" applyFill="1" applyBorder="1" applyAlignment="1">
      <alignment horizontal="center"/>
    </xf>
    <xf numFmtId="164" fontId="91" fillId="0" borderId="11" xfId="0" applyNumberFormat="1" applyFont="1" applyBorder="1" applyAlignment="1">
      <alignment horizontal="center"/>
    </xf>
  </cellXfs>
  <cellStyles count="2">
    <cellStyle name="Komma" xfId="1" builtinId="3"/>
    <cellStyle name="Standaard" xfId="0" builtinId="0"/>
  </cellStyles>
  <dxfs count="7">
    <dxf>
      <font>
        <color rgb="FF9C0006"/>
      </font>
      <fill>
        <patternFill>
          <bgColor rgb="FFFFC7CE"/>
        </patternFill>
      </fill>
    </dxf>
    <dxf>
      <font>
        <color rgb="FF9C0006"/>
      </font>
      <fill>
        <patternFill>
          <bgColor rgb="FFFFC7CE"/>
        </patternFill>
      </fill>
    </dxf>
    <dxf>
      <font>
        <color rgb="FF00B050"/>
      </font>
    </dxf>
    <dxf>
      <font>
        <color rgb="FFFF0000"/>
      </font>
    </dxf>
    <dxf>
      <font>
        <color rgb="FFFF0000"/>
      </font>
    </dxf>
    <dxf>
      <font>
        <color rgb="FFFF0000"/>
      </font>
    </dxf>
    <dxf>
      <font>
        <color rgb="FFFF0000"/>
      </font>
    </dxf>
  </dxfs>
  <tableStyles count="0" defaultTableStyle="TableStyleMedium2" defaultPivotStyle="PivotStyleLight16"/>
  <colors>
    <mruColors>
      <color rgb="FFFFFFD9"/>
      <color rgb="FFFFFFCC"/>
      <color rgb="FFFFFF99"/>
      <color rgb="FFFFFF00"/>
      <color rgb="FFFFFF66"/>
      <color rgb="FF000000"/>
      <color rgb="FFFF6699"/>
      <color rgb="FFFFFFFF"/>
      <color rgb="FF005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209550</xdr:colOff>
      <xdr:row>1</xdr:row>
      <xdr:rowOff>17145</xdr:rowOff>
    </xdr:to>
    <xdr:pic>
      <xdr:nvPicPr>
        <xdr:cNvPr id="2" name="Afbeelding 1">
          <a:extLst>
            <a:ext uri="{FF2B5EF4-FFF2-40B4-BE49-F238E27FC236}">
              <a16:creationId xmlns:a16="http://schemas.microsoft.com/office/drawing/2014/main" id="{90047D87-CF78-CF6F-527F-A26D37B2CA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143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283845</xdr:colOff>
      <xdr:row>1</xdr:row>
      <xdr:rowOff>19050</xdr:rowOff>
    </xdr:to>
    <xdr:pic>
      <xdr:nvPicPr>
        <xdr:cNvPr id="3" name="Afbeelding 2">
          <a:extLst>
            <a:ext uri="{FF2B5EF4-FFF2-40B4-BE49-F238E27FC236}">
              <a16:creationId xmlns:a16="http://schemas.microsoft.com/office/drawing/2014/main" id="{1A8BA2A0-28D3-88EB-BA74-8CF1E2DB0F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4000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2B96B-4645-4499-8536-D2159327FA65}">
  <sheetPr>
    <tabColor theme="0"/>
  </sheetPr>
  <dimension ref="A1:DW160"/>
  <sheetViews>
    <sheetView tabSelected="1" topLeftCell="A4" zoomScaleNormal="100" workbookViewId="0">
      <pane ySplit="4" topLeftCell="A80" activePane="bottomLeft" state="frozen"/>
      <selection activeCell="A4" sqref="A4"/>
      <selection pane="bottomLeft" activeCell="K90" sqref="K90"/>
    </sheetView>
  </sheetViews>
  <sheetFormatPr defaultColWidth="9.140625" defaultRowHeight="15"/>
  <cols>
    <col min="1" max="1" width="1.5703125" style="1" customWidth="1"/>
    <col min="2" max="2" width="31" style="72" customWidth="1"/>
    <col min="3" max="3" width="8" style="72" customWidth="1"/>
    <col min="4" max="4" width="6.7109375" style="64" customWidth="1"/>
    <col min="5" max="6" width="6.7109375" style="62" customWidth="1"/>
    <col min="7" max="10" width="5.28515625" style="62" customWidth="1"/>
    <col min="11" max="11" width="9.7109375" style="63" customWidth="1"/>
    <col min="12" max="12" width="9.5703125" style="133" customWidth="1"/>
    <col min="13" max="14" width="9.5703125" style="64" customWidth="1"/>
    <col min="15" max="15" width="11.5703125" style="659" customWidth="1"/>
    <col min="16" max="16" width="14.7109375" style="95" bestFit="1" customWidth="1"/>
    <col min="17" max="17" width="15.140625" style="65" customWidth="1"/>
    <col min="18" max="18" width="88.7109375" style="271" customWidth="1"/>
    <col min="19" max="19" width="9.140625" style="387"/>
    <col min="20" max="20" width="9.140625" style="1"/>
    <col min="21" max="21" width="9.140625" style="411"/>
    <col min="22" max="16384" width="9.140625" style="1"/>
  </cols>
  <sheetData>
    <row r="1" spans="2:127">
      <c r="B1" s="70"/>
      <c r="C1" s="70"/>
      <c r="D1" s="66"/>
      <c r="E1" s="67"/>
      <c r="F1" s="67"/>
      <c r="G1" s="67"/>
      <c r="H1" s="67"/>
      <c r="I1" s="67"/>
      <c r="J1" s="67"/>
      <c r="K1" s="68"/>
      <c r="L1" s="128"/>
      <c r="M1" s="66"/>
      <c r="N1" s="66"/>
      <c r="O1" s="543"/>
      <c r="P1" s="94"/>
      <c r="Q1" s="69"/>
      <c r="R1" s="91"/>
      <c r="S1" s="407"/>
    </row>
    <row r="2" spans="2:127">
      <c r="B2" s="109" t="s">
        <v>59</v>
      </c>
      <c r="C2" s="110"/>
      <c r="D2" s="111"/>
      <c r="E2" s="67"/>
      <c r="F2" s="67"/>
      <c r="G2" s="67"/>
      <c r="H2" s="67"/>
      <c r="I2" s="67"/>
      <c r="J2" s="67"/>
      <c r="K2" s="68"/>
      <c r="L2" s="128"/>
      <c r="M2" s="66"/>
      <c r="N2" s="66"/>
      <c r="O2" s="543"/>
      <c r="P2" s="94"/>
      <c r="Q2" s="69"/>
      <c r="R2" s="91"/>
      <c r="S2" s="407"/>
    </row>
    <row r="3" spans="2:127">
      <c r="B3" s="70"/>
      <c r="C3" s="70"/>
      <c r="D3" s="66"/>
      <c r="E3" s="67"/>
      <c r="F3" s="67"/>
      <c r="G3" s="67"/>
      <c r="H3" s="67"/>
      <c r="I3" s="67"/>
      <c r="J3" s="67"/>
      <c r="K3" s="68"/>
      <c r="L3" s="128"/>
      <c r="M3" s="66"/>
      <c r="N3" s="66"/>
      <c r="O3" s="543"/>
      <c r="P3" s="94"/>
      <c r="Q3" s="69"/>
      <c r="R3" s="91"/>
      <c r="S3" s="407"/>
    </row>
    <row r="4" spans="2:127">
      <c r="B4" s="70"/>
      <c r="C4" s="70"/>
      <c r="D4" s="66"/>
      <c r="E4" s="67"/>
      <c r="F4" s="365"/>
      <c r="G4" s="819"/>
      <c r="H4" s="67"/>
      <c r="I4" s="67"/>
      <c r="J4" s="67"/>
      <c r="K4" s="68"/>
      <c r="L4" s="128"/>
      <c r="M4" s="66"/>
      <c r="N4" s="66"/>
      <c r="O4" s="543"/>
      <c r="P4" s="34" t="s">
        <v>65</v>
      </c>
      <c r="Q4" s="69"/>
      <c r="R4" s="91"/>
      <c r="S4" s="407"/>
    </row>
    <row r="5" spans="2:127">
      <c r="B5" s="74"/>
      <c r="C5" s="74"/>
      <c r="D5" s="32" t="s">
        <v>5</v>
      </c>
      <c r="E5" s="49" t="s">
        <v>41</v>
      </c>
      <c r="F5" s="55" t="s">
        <v>38</v>
      </c>
      <c r="G5" s="55" t="s">
        <v>217</v>
      </c>
      <c r="H5" s="55" t="s">
        <v>37</v>
      </c>
      <c r="I5" s="55" t="s">
        <v>381</v>
      </c>
      <c r="J5" s="55" t="s">
        <v>35</v>
      </c>
      <c r="K5" s="50"/>
      <c r="L5" s="130" t="s">
        <v>51</v>
      </c>
      <c r="M5" s="52" t="s">
        <v>9</v>
      </c>
      <c r="O5" s="6" t="s">
        <v>8</v>
      </c>
      <c r="P5" s="53" t="s">
        <v>46</v>
      </c>
      <c r="Q5" s="206" t="s">
        <v>9</v>
      </c>
      <c r="R5" s="1204"/>
      <c r="S5" s="407"/>
    </row>
    <row r="6" spans="2:127">
      <c r="B6" s="75"/>
      <c r="C6" s="75" t="s">
        <v>84</v>
      </c>
      <c r="D6" s="92" t="s">
        <v>39</v>
      </c>
      <c r="E6" s="93" t="s">
        <v>39</v>
      </c>
      <c r="F6" s="93" t="s">
        <v>42</v>
      </c>
      <c r="G6" s="93" t="s">
        <v>42</v>
      </c>
      <c r="H6" s="93" t="s">
        <v>42</v>
      </c>
      <c r="I6" s="93" t="s">
        <v>44</v>
      </c>
      <c r="J6" s="93" t="s">
        <v>44</v>
      </c>
      <c r="K6" s="51" t="s">
        <v>4</v>
      </c>
      <c r="L6" s="130" t="s">
        <v>48</v>
      </c>
      <c r="M6" s="52" t="s">
        <v>50</v>
      </c>
      <c r="N6" s="52" t="s">
        <v>9</v>
      </c>
      <c r="O6" s="6" t="s">
        <v>3</v>
      </c>
      <c r="P6" s="53" t="s">
        <v>47</v>
      </c>
      <c r="Q6" s="206" t="s">
        <v>4</v>
      </c>
      <c r="R6" s="1204"/>
      <c r="S6" s="407"/>
    </row>
    <row r="7" spans="2:127" s="2" customFormat="1">
      <c r="B7" s="386" t="s">
        <v>52</v>
      </c>
      <c r="C7" s="54" t="s">
        <v>41</v>
      </c>
      <c r="D7" s="58" t="s">
        <v>40</v>
      </c>
      <c r="E7" s="55" t="s">
        <v>40</v>
      </c>
      <c r="F7" s="55" t="s">
        <v>43</v>
      </c>
      <c r="G7" s="55" t="s">
        <v>43</v>
      </c>
      <c r="H7" s="55" t="s">
        <v>43</v>
      </c>
      <c r="I7" s="55" t="s">
        <v>45</v>
      </c>
      <c r="J7" s="55" t="s">
        <v>45</v>
      </c>
      <c r="K7" s="56" t="s">
        <v>6</v>
      </c>
      <c r="L7" s="131" t="s">
        <v>49</v>
      </c>
      <c r="M7" s="58" t="s">
        <v>124</v>
      </c>
      <c r="N7" s="58" t="s">
        <v>63</v>
      </c>
      <c r="O7" s="57" t="s">
        <v>6</v>
      </c>
      <c r="P7" s="59" t="s">
        <v>7</v>
      </c>
      <c r="Q7" s="313" t="s">
        <v>1</v>
      </c>
      <c r="R7" s="1204" t="s">
        <v>19</v>
      </c>
      <c r="S7" s="1203" t="s">
        <v>80</v>
      </c>
      <c r="T7" s="1"/>
      <c r="U7" s="41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row>
    <row r="8" spans="2:127" s="91" customFormat="1" ht="15" customHeight="1">
      <c r="B8" s="1149" t="str">
        <f>Periode!B8</f>
        <v>Ruben Hellemons</v>
      </c>
      <c r="C8" s="5" t="str">
        <f>Periode!G8</f>
        <v>124 (4wk)</v>
      </c>
      <c r="D8" s="61">
        <v>4</v>
      </c>
      <c r="E8" s="60">
        <v>32</v>
      </c>
      <c r="F8" s="60">
        <v>8</v>
      </c>
      <c r="G8" s="60"/>
      <c r="H8" s="60"/>
      <c r="I8" s="60"/>
      <c r="J8" s="60"/>
      <c r="K8" s="106">
        <f>(Periode!BB8*E8/40)+((F8+H8+I8)*Periode!BD8/40)+(J8*Periode!BF8/40)+(G8*Periode!BE8/40)</f>
        <v>717.44035999999994</v>
      </c>
      <c r="L8" s="132"/>
      <c r="M8" s="61"/>
      <c r="N8" s="136"/>
      <c r="O8" s="42"/>
      <c r="P8" s="73"/>
      <c r="Q8" s="43">
        <f>K8+O8+P8</f>
        <v>717.44035999999994</v>
      </c>
      <c r="R8" s="560" t="s">
        <v>456</v>
      </c>
      <c r="S8" s="241" t="s">
        <v>216</v>
      </c>
      <c r="U8" s="407"/>
    </row>
    <row r="9" spans="2:127" s="91" customFormat="1">
      <c r="B9" s="1149"/>
      <c r="C9" s="5"/>
      <c r="D9" s="61"/>
      <c r="E9" s="60"/>
      <c r="F9" s="235"/>
      <c r="G9" s="426"/>
      <c r="H9" s="426"/>
      <c r="I9" s="426"/>
      <c r="J9" s="60"/>
      <c r="K9" s="106"/>
      <c r="L9" s="136"/>
      <c r="M9" s="136"/>
      <c r="N9" s="319"/>
      <c r="O9" s="42"/>
      <c r="P9" s="73"/>
      <c r="Q9" s="389"/>
      <c r="R9" s="560"/>
      <c r="S9" s="241"/>
      <c r="U9" s="241"/>
    </row>
    <row r="10" spans="2:127" s="246" customFormat="1">
      <c r="B10" s="1189"/>
      <c r="C10" s="591"/>
      <c r="D10" s="242"/>
      <c r="E10" s="461"/>
      <c r="F10" s="461"/>
      <c r="G10" s="461"/>
      <c r="H10" s="461"/>
      <c r="I10" s="461"/>
      <c r="J10" s="461"/>
      <c r="K10" s="106"/>
      <c r="L10" s="242"/>
      <c r="M10" s="242"/>
      <c r="O10" s="206"/>
      <c r="P10" s="614"/>
      <c r="Q10" s="43"/>
      <c r="R10" s="1202"/>
      <c r="S10" s="593"/>
      <c r="U10" s="241"/>
    </row>
    <row r="11" spans="2:127" s="246" customFormat="1" ht="15" customHeight="1">
      <c r="B11" s="1149"/>
      <c r="C11" s="242"/>
      <c r="D11" s="243"/>
      <c r="E11" s="406"/>
      <c r="F11" s="406"/>
      <c r="G11" s="406"/>
      <c r="H11" s="406"/>
      <c r="I11" s="406"/>
      <c r="J11" s="406"/>
      <c r="K11" s="106"/>
      <c r="L11" s="243"/>
      <c r="M11" s="243"/>
      <c r="N11" s="610"/>
      <c r="O11" s="43"/>
      <c r="P11" s="612"/>
      <c r="Q11" s="43"/>
      <c r="R11" s="1202"/>
      <c r="S11" s="277"/>
      <c r="U11" s="241"/>
    </row>
    <row r="12" spans="2:127" s="91" customFormat="1" ht="15" customHeight="1">
      <c r="B12" s="1149" t="str">
        <f>Periode!B12</f>
        <v>Andre Sintenie</v>
      </c>
      <c r="C12" s="5" t="str">
        <f>Periode!G12</f>
        <v>32 (4wk)</v>
      </c>
      <c r="D12" s="61">
        <v>2</v>
      </c>
      <c r="E12" s="60">
        <v>16</v>
      </c>
      <c r="F12" s="60"/>
      <c r="G12" s="60">
        <f>8*0.95</f>
        <v>7.6</v>
      </c>
      <c r="H12" s="60"/>
      <c r="I12" s="60"/>
      <c r="J12" s="60"/>
      <c r="K12" s="106">
        <f>(Periode!BB12*E12/40)+((F12+H12+I12)*Periode!BD12/40)+(J12*Periode!BF12/40)+(G12*Periode!BE12/40)</f>
        <v>383.79479600000002</v>
      </c>
      <c r="L12" s="132"/>
      <c r="M12" s="61"/>
      <c r="N12" s="136"/>
      <c r="O12" s="42"/>
      <c r="P12" s="73"/>
      <c r="Q12" s="43">
        <f>K12+O12+P12</f>
        <v>383.79479600000002</v>
      </c>
      <c r="R12" s="560" t="s">
        <v>467</v>
      </c>
      <c r="S12" s="241" t="s">
        <v>164</v>
      </c>
      <c r="U12" s="407"/>
    </row>
    <row r="13" spans="2:127" s="87" customFormat="1" ht="15" customHeight="1">
      <c r="B13" s="1149"/>
      <c r="C13" s="172">
        <f>Periode!H13</f>
        <v>0</v>
      </c>
      <c r="D13" s="61"/>
      <c r="E13" s="60"/>
      <c r="F13" s="60"/>
      <c r="G13" s="60"/>
      <c r="H13" s="348"/>
      <c r="I13" s="348"/>
      <c r="J13" s="60"/>
      <c r="K13" s="106"/>
      <c r="L13" s="132"/>
      <c r="M13" s="61"/>
      <c r="N13" s="611"/>
      <c r="O13" s="42"/>
      <c r="P13" s="73"/>
      <c r="Q13" s="304">
        <f t="shared" ref="Q13" si="0">K13+O13+P13</f>
        <v>0</v>
      </c>
      <c r="R13" s="1204"/>
      <c r="S13" s="409"/>
      <c r="U13" s="407"/>
    </row>
    <row r="14" spans="2:127" s="91" customFormat="1" ht="15" customHeight="1">
      <c r="B14" s="1149"/>
      <c r="C14" s="5"/>
      <c r="D14" s="61"/>
      <c r="E14" s="60"/>
      <c r="F14" s="60"/>
      <c r="G14" s="60"/>
      <c r="H14" s="60"/>
      <c r="I14" s="60"/>
      <c r="J14" s="60"/>
      <c r="K14" s="106"/>
      <c r="L14" s="132"/>
      <c r="M14" s="61"/>
      <c r="N14" s="136"/>
      <c r="O14" s="42"/>
      <c r="P14" s="73"/>
      <c r="Q14" s="395"/>
      <c r="R14" s="722" t="s">
        <v>254</v>
      </c>
      <c r="S14" s="241"/>
      <c r="U14" s="407"/>
    </row>
    <row r="15" spans="2:127" s="91" customFormat="1" ht="15" customHeight="1">
      <c r="B15" s="1149" t="str">
        <f>Periode!B15</f>
        <v xml:space="preserve">Dennis Aarts </v>
      </c>
      <c r="C15" s="5" t="str">
        <f>Periode!G15</f>
        <v>0</v>
      </c>
      <c r="D15" s="61"/>
      <c r="E15" s="60"/>
      <c r="F15" s="60"/>
      <c r="G15" s="60"/>
      <c r="H15" s="60"/>
      <c r="I15" s="60"/>
      <c r="J15" s="60"/>
      <c r="K15" s="106">
        <f>(Periode!BB15*E15/40)+((F15+H15+I15)*Periode!BD15/40)+(J15*Periode!BF15/40)+(G15*Periode!BE15/40)</f>
        <v>0</v>
      </c>
      <c r="L15" s="132"/>
      <c r="M15" s="61"/>
      <c r="N15" s="136"/>
      <c r="O15" s="42"/>
      <c r="P15" s="73"/>
      <c r="Q15" s="389">
        <f>K15+O15+P15</f>
        <v>0</v>
      </c>
      <c r="R15" s="563" t="s">
        <v>482</v>
      </c>
      <c r="S15" s="241" t="s">
        <v>251</v>
      </c>
      <c r="U15" s="407"/>
    </row>
    <row r="16" spans="2:127" s="246" customFormat="1" ht="15.75" customHeight="1">
      <c r="B16" s="1149"/>
      <c r="C16" s="242"/>
      <c r="D16" s="61"/>
      <c r="E16" s="60"/>
      <c r="F16" s="60"/>
      <c r="G16" s="60"/>
      <c r="H16" s="60"/>
      <c r="I16" s="60"/>
      <c r="J16" s="60"/>
      <c r="K16" s="106"/>
      <c r="L16" s="132"/>
      <c r="M16" s="61"/>
      <c r="N16" s="243"/>
      <c r="O16" s="42"/>
      <c r="P16" s="73"/>
      <c r="Q16" s="395"/>
      <c r="R16" s="563"/>
      <c r="S16" s="277"/>
      <c r="U16" s="407"/>
    </row>
    <row r="17" spans="2:30" s="246" customFormat="1" ht="15" customHeight="1">
      <c r="B17" s="1149" t="str">
        <f>Periode!B17</f>
        <v>Kay Sanders</v>
      </c>
      <c r="C17" s="242"/>
      <c r="D17" s="243"/>
      <c r="E17" s="406"/>
      <c r="F17" s="406"/>
      <c r="G17" s="406"/>
      <c r="H17" s="406"/>
      <c r="I17" s="406"/>
      <c r="J17" s="406"/>
      <c r="K17" s="244"/>
      <c r="L17" s="132">
        <v>69</v>
      </c>
      <c r="M17" s="243"/>
      <c r="N17" s="243"/>
      <c r="O17" s="800"/>
      <c r="P17" s="245"/>
      <c r="Q17" s="395"/>
      <c r="R17" s="722"/>
      <c r="S17" s="241"/>
      <c r="U17" s="277"/>
    </row>
    <row r="18" spans="2:30" s="91" customFormat="1" ht="15" customHeight="1">
      <c r="B18" s="1149"/>
      <c r="C18" s="5"/>
      <c r="D18" s="61"/>
      <c r="E18" s="60"/>
      <c r="F18" s="60"/>
      <c r="G18" s="60"/>
      <c r="H18" s="60"/>
      <c r="I18" s="60"/>
      <c r="J18" s="60"/>
      <c r="K18" s="106"/>
      <c r="L18" s="132"/>
      <c r="M18" s="61"/>
      <c r="N18" s="136"/>
      <c r="O18" s="42"/>
      <c r="P18" s="73"/>
      <c r="Q18" s="43"/>
      <c r="R18" s="1205"/>
      <c r="S18" s="241"/>
      <c r="U18" s="407"/>
    </row>
    <row r="19" spans="2:30" s="246" customFormat="1" ht="15" customHeight="1">
      <c r="B19" s="1149"/>
      <c r="C19" s="242"/>
      <c r="D19" s="61"/>
      <c r="E19" s="60"/>
      <c r="F19" s="60"/>
      <c r="G19" s="60"/>
      <c r="H19" s="60"/>
      <c r="I19" s="60"/>
      <c r="J19" s="60"/>
      <c r="K19" s="106"/>
      <c r="L19" s="279"/>
      <c r="M19" s="61"/>
      <c r="N19" s="243"/>
      <c r="O19" s="42"/>
      <c r="P19" s="73"/>
      <c r="Q19" s="395"/>
      <c r="R19" s="722"/>
      <c r="S19" s="397"/>
      <c r="T19" s="342"/>
      <c r="U19" s="413"/>
      <c r="V19" s="262"/>
      <c r="W19" s="262"/>
      <c r="X19" s="262"/>
      <c r="Y19" s="262"/>
      <c r="Z19" s="262"/>
      <c r="AA19" s="262"/>
      <c r="AB19" s="262"/>
      <c r="AC19" s="262"/>
      <c r="AD19" s="262"/>
    </row>
    <row r="20" spans="2:30" s="91" customFormat="1" ht="15" customHeight="1">
      <c r="B20" s="1149"/>
      <c r="C20" s="5"/>
      <c r="D20" s="61"/>
      <c r="E20" s="60"/>
      <c r="F20" s="60"/>
      <c r="G20" s="60"/>
      <c r="H20" s="60"/>
      <c r="I20" s="60"/>
      <c r="J20" s="60"/>
      <c r="K20" s="106">
        <f>(Periode!BB20*E20/40)+((F20+H20+I20)*Periode!BD20/40)+(J20*Periode!BF20/40)+(G20*Periode!BE20/40)</f>
        <v>0</v>
      </c>
      <c r="L20" s="615"/>
      <c r="M20" s="61"/>
      <c r="N20" s="136"/>
      <c r="O20" s="42"/>
      <c r="P20" s="73"/>
      <c r="Q20" s="389">
        <f>K20+O20+P20</f>
        <v>0</v>
      </c>
      <c r="R20" s="563"/>
      <c r="S20" s="241"/>
      <c r="U20" s="407"/>
    </row>
    <row r="21" spans="2:30" s="91" customFormat="1" ht="15" customHeight="1">
      <c r="B21" s="1149"/>
      <c r="C21" s="5"/>
      <c r="D21" s="61"/>
      <c r="E21" s="60"/>
      <c r="F21" s="60"/>
      <c r="G21" s="60"/>
      <c r="H21" s="60"/>
      <c r="I21" s="60"/>
      <c r="J21" s="60"/>
      <c r="K21" s="106"/>
      <c r="L21" s="132"/>
      <c r="M21" s="60"/>
      <c r="N21" s="442"/>
      <c r="O21" s="42"/>
      <c r="P21" s="73"/>
      <c r="Q21" s="43"/>
      <c r="R21" s="723"/>
      <c r="S21" s="241"/>
      <c r="U21" s="343"/>
      <c r="W21" s="314"/>
    </row>
    <row r="22" spans="2:30" s="246" customFormat="1" ht="15" customHeight="1">
      <c r="B22" s="1149"/>
      <c r="C22" s="242"/>
      <c r="D22" s="243"/>
      <c r="E22" s="406"/>
      <c r="F22" s="406"/>
      <c r="G22" s="406"/>
      <c r="H22" s="406"/>
      <c r="I22" s="406"/>
      <c r="J22" s="60"/>
      <c r="K22" s="106"/>
      <c r="L22" s="243"/>
      <c r="M22" s="243"/>
      <c r="N22" s="243"/>
      <c r="O22" s="42"/>
      <c r="P22" s="245"/>
      <c r="Q22" s="395"/>
      <c r="R22" s="1206"/>
      <c r="S22" s="277"/>
      <c r="U22" s="412"/>
      <c r="W22" s="311"/>
    </row>
    <row r="23" spans="2:30" s="91" customFormat="1" ht="15" customHeight="1">
      <c r="B23" s="1149" t="str">
        <f>Periode!B23</f>
        <v>Frank Stouthart</v>
      </c>
      <c r="C23" s="5" t="str">
        <f>Periode!G23</f>
        <v>32 (4wk)</v>
      </c>
      <c r="D23" s="61">
        <v>4</v>
      </c>
      <c r="E23" s="60">
        <v>32</v>
      </c>
      <c r="F23" s="60">
        <v>8</v>
      </c>
      <c r="G23" s="60"/>
      <c r="H23" s="60"/>
      <c r="I23" s="60"/>
      <c r="J23" s="60"/>
      <c r="K23" s="106">
        <f>(Periode!BB23*E23/40)+((F23+H23+I23)*Periode!BD23/40)+(J23*Periode!BF23/40)+(G23*Periode!BE23/40)</f>
        <v>701.67964000000018</v>
      </c>
      <c r="L23" s="615">
        <v>34</v>
      </c>
      <c r="M23" s="61"/>
      <c r="N23" s="136">
        <f>(L23*D23*2)+M23</f>
        <v>272</v>
      </c>
      <c r="O23" s="42">
        <f>((L23*2*D23)+M23)*0.28</f>
        <v>76.160000000000011</v>
      </c>
      <c r="P23" s="73"/>
      <c r="Q23" s="43">
        <f t="shared" ref="Q23" si="1">K23+O23+P23</f>
        <v>777.83964000000014</v>
      </c>
      <c r="R23" s="560" t="s">
        <v>457</v>
      </c>
      <c r="S23" s="241" t="s">
        <v>378</v>
      </c>
      <c r="U23" s="343"/>
      <c r="W23" s="314"/>
    </row>
    <row r="24" spans="2:30" s="91" customFormat="1" ht="15" customHeight="1">
      <c r="B24" s="1149"/>
      <c r="C24" s="5"/>
      <c r="D24" s="61"/>
      <c r="E24" s="60"/>
      <c r="F24" s="60"/>
      <c r="G24" s="60"/>
      <c r="H24" s="60"/>
      <c r="I24" s="60"/>
      <c r="J24" s="60"/>
      <c r="K24" s="106"/>
      <c r="L24" s="132"/>
      <c r="M24" s="61"/>
      <c r="N24" s="136"/>
      <c r="O24" s="42"/>
      <c r="P24" s="73"/>
      <c r="Q24" s="43"/>
      <c r="R24" s="723"/>
      <c r="S24" s="241"/>
      <c r="U24" s="343"/>
      <c r="W24" s="314"/>
    </row>
    <row r="25" spans="2:30" s="91" customFormat="1" ht="15" customHeight="1">
      <c r="B25" s="1149"/>
      <c r="C25" s="5"/>
      <c r="D25" s="61"/>
      <c r="E25" s="60"/>
      <c r="F25" s="60"/>
      <c r="G25" s="60"/>
      <c r="H25" s="60"/>
      <c r="I25" s="60"/>
      <c r="J25" s="60"/>
      <c r="K25" s="106"/>
      <c r="L25" s="132"/>
      <c r="M25" s="61"/>
      <c r="N25" s="136"/>
      <c r="O25" s="834"/>
      <c r="P25" s="73"/>
      <c r="Q25" s="43"/>
      <c r="R25" s="723"/>
      <c r="S25" s="241"/>
      <c r="U25" s="343"/>
      <c r="W25" s="314"/>
    </row>
    <row r="26" spans="2:30" s="91" customFormat="1" ht="15" customHeight="1">
      <c r="B26" s="1149" t="str">
        <f>Periode!B26</f>
        <v>Roy Rubeling</v>
      </c>
      <c r="C26" s="5" t="str">
        <f>Periode!G26</f>
        <v>0</v>
      </c>
      <c r="D26" s="61">
        <v>3</v>
      </c>
      <c r="E26" s="60">
        <v>24</v>
      </c>
      <c r="F26" s="60"/>
      <c r="G26" s="60"/>
      <c r="H26" s="60"/>
      <c r="I26" s="60"/>
      <c r="J26" s="60"/>
      <c r="K26" s="106">
        <f>(Periode!BB26*E26/40)+((F26+H26+I26)*Periode!BD26/40)+(J26*Periode!BF26/40)+(G26*Periode!BE26/40)</f>
        <v>450</v>
      </c>
      <c r="L26" s="615">
        <v>61</v>
      </c>
      <c r="M26" s="61">
        <f>20+20+20</f>
        <v>60</v>
      </c>
      <c r="N26" s="136">
        <f>(L26*D26*2)+M26</f>
        <v>426</v>
      </c>
      <c r="O26" s="42">
        <f>((L26*2*D26)+M26)*0.28</f>
        <v>119.28000000000002</v>
      </c>
      <c r="P26" s="73"/>
      <c r="Q26" s="43">
        <f t="shared" ref="Q26" si="2">K26+O26+P26</f>
        <v>569.28</v>
      </c>
      <c r="R26" s="1207" t="s">
        <v>458</v>
      </c>
      <c r="S26" s="241" t="s">
        <v>390</v>
      </c>
      <c r="U26" s="343"/>
      <c r="W26" s="314"/>
    </row>
    <row r="27" spans="2:30" s="246" customFormat="1" ht="15" customHeight="1">
      <c r="B27" s="1149"/>
      <c r="C27" s="242"/>
      <c r="D27" s="61"/>
      <c r="E27" s="60"/>
      <c r="F27" s="60"/>
      <c r="G27" s="60"/>
      <c r="H27" s="60"/>
      <c r="I27" s="60"/>
      <c r="J27" s="60"/>
      <c r="K27" s="106"/>
      <c r="L27" s="132"/>
      <c r="M27" s="61"/>
      <c r="N27" s="243"/>
      <c r="O27" s="835"/>
      <c r="P27" s="73"/>
      <c r="Q27" s="395"/>
      <c r="R27" s="1151" t="s">
        <v>468</v>
      </c>
      <c r="S27" s="277"/>
      <c r="U27" s="412"/>
    </row>
    <row r="28" spans="2:30" s="246" customFormat="1" ht="15" customHeight="1">
      <c r="B28" s="1149"/>
      <c r="C28" s="242"/>
      <c r="D28" s="61"/>
      <c r="E28" s="60"/>
      <c r="F28" s="60"/>
      <c r="G28" s="60"/>
      <c r="H28" s="60"/>
      <c r="I28" s="60"/>
      <c r="J28" s="60"/>
      <c r="K28" s="106"/>
      <c r="L28" s="132"/>
      <c r="M28" s="61"/>
      <c r="N28" s="243"/>
      <c r="O28" s="42"/>
      <c r="P28" s="73"/>
      <c r="Q28" s="395"/>
      <c r="R28" s="814"/>
      <c r="S28" s="277"/>
      <c r="U28" s="412"/>
    </row>
    <row r="29" spans="2:30" s="91" customFormat="1" ht="15" customHeight="1">
      <c r="B29" s="1149"/>
      <c r="C29" s="5"/>
      <c r="D29" s="61"/>
      <c r="E29" s="60"/>
      <c r="F29" s="60"/>
      <c r="G29" s="60"/>
      <c r="H29" s="60"/>
      <c r="I29" s="60"/>
      <c r="J29" s="60"/>
      <c r="K29" s="106"/>
      <c r="L29" s="132"/>
      <c r="M29" s="136"/>
      <c r="N29" s="136"/>
      <c r="O29" s="42"/>
      <c r="P29" s="73"/>
      <c r="Q29" s="43"/>
      <c r="R29" s="722"/>
      <c r="S29" s="241"/>
      <c r="U29" s="343"/>
    </row>
    <row r="30" spans="2:30" s="91" customFormat="1" ht="15" customHeight="1">
      <c r="B30" s="1149"/>
      <c r="C30" s="5"/>
      <c r="D30" s="61"/>
      <c r="E30" s="60"/>
      <c r="F30" s="60"/>
      <c r="G30" s="60"/>
      <c r="H30" s="60"/>
      <c r="I30" s="60"/>
      <c r="J30" s="60"/>
      <c r="K30" s="106"/>
      <c r="L30" s="132"/>
      <c r="M30" s="61"/>
      <c r="N30" s="136"/>
      <c r="O30" s="42"/>
      <c r="P30" s="73"/>
      <c r="Q30" s="43"/>
      <c r="R30" s="814"/>
      <c r="S30" s="241"/>
      <c r="U30" s="343"/>
    </row>
    <row r="31" spans="2:30" s="246" customFormat="1" ht="15" customHeight="1">
      <c r="B31" s="1149"/>
      <c r="C31" s="242"/>
      <c r="D31" s="61"/>
      <c r="E31" s="60"/>
      <c r="F31" s="60"/>
      <c r="G31" s="60"/>
      <c r="H31" s="60"/>
      <c r="I31" s="60"/>
      <c r="J31" s="60"/>
      <c r="K31" s="106"/>
      <c r="L31" s="132"/>
      <c r="M31" s="61"/>
      <c r="N31" s="243"/>
      <c r="O31" s="42"/>
      <c r="P31" s="73"/>
      <c r="Q31" s="395"/>
      <c r="R31" s="814"/>
      <c r="S31" s="277"/>
      <c r="T31" s="246" t="s">
        <v>142</v>
      </c>
      <c r="U31" s="412"/>
    </row>
    <row r="32" spans="2:30" s="91" customFormat="1" ht="15" customHeight="1">
      <c r="B32" s="1149"/>
      <c r="C32" s="5"/>
      <c r="D32" s="61"/>
      <c r="E32" s="60"/>
      <c r="F32" s="60"/>
      <c r="G32" s="60"/>
      <c r="H32" s="60"/>
      <c r="I32" s="60"/>
      <c r="J32" s="60"/>
      <c r="K32" s="106"/>
      <c r="L32" s="132"/>
      <c r="M32" s="136"/>
      <c r="N32" s="136"/>
      <c r="O32" s="42"/>
      <c r="P32" s="73"/>
      <c r="Q32" s="43"/>
      <c r="R32" s="1177"/>
      <c r="S32" s="241"/>
      <c r="U32" s="343"/>
    </row>
    <row r="33" spans="1:23" s="91" customFormat="1" ht="15" customHeight="1">
      <c r="B33" s="1149" t="str">
        <f>Periode!B33</f>
        <v>Marco Govers</v>
      </c>
      <c r="C33" s="5" t="str">
        <f>Periode!G33</f>
        <v>32 (4wk)</v>
      </c>
      <c r="D33" s="61">
        <v>5</v>
      </c>
      <c r="E33" s="60">
        <v>40</v>
      </c>
      <c r="F33" s="60"/>
      <c r="G33" s="60"/>
      <c r="H33" s="60"/>
      <c r="I33" s="60"/>
      <c r="J33" s="60"/>
      <c r="K33" s="106">
        <f>(Periode!BB33*E33/40)+((F33+H33+I33)*Periode!BD33/40)+(J33*Periode!BF33/40)+(G33*Periode!BE33/40)</f>
        <v>775.21</v>
      </c>
      <c r="L33" s="132">
        <v>39</v>
      </c>
      <c r="M33" s="136"/>
      <c r="N33" s="136">
        <f>(L33*D33*2)+M33</f>
        <v>390</v>
      </c>
      <c r="O33" s="42">
        <f>((L33*2*D33)+M33)*0.28</f>
        <v>109.20000000000002</v>
      </c>
      <c r="P33" s="73"/>
      <c r="Q33" s="43">
        <f t="shared" ref="Q33" si="3">K33+O33+P33</f>
        <v>884.41000000000008</v>
      </c>
      <c r="R33" s="722"/>
      <c r="S33" s="241" t="s">
        <v>436</v>
      </c>
      <c r="U33" s="343"/>
    </row>
    <row r="34" spans="1:23" s="246" customFormat="1" ht="15" customHeight="1">
      <c r="B34" s="1149"/>
      <c r="C34" s="242"/>
      <c r="D34" s="61"/>
      <c r="E34" s="60"/>
      <c r="F34" s="60"/>
      <c r="G34" s="60"/>
      <c r="H34" s="60"/>
      <c r="I34" s="60"/>
      <c r="J34" s="60"/>
      <c r="K34" s="106"/>
      <c r="L34" s="132"/>
      <c r="M34" s="61"/>
      <c r="N34" s="243"/>
      <c r="O34" s="42"/>
      <c r="P34" s="73"/>
      <c r="Q34" s="395"/>
      <c r="R34" s="722"/>
      <c r="S34" s="277"/>
      <c r="U34" s="412"/>
    </row>
    <row r="35" spans="1:23" s="91" customFormat="1" ht="15" customHeight="1">
      <c r="B35" s="1149" t="str">
        <f>Periode!B35</f>
        <v>Onno de Vries</v>
      </c>
      <c r="C35" s="5" t="str">
        <f>Periode!G35</f>
        <v>124 (4wk)</v>
      </c>
      <c r="D35" s="61">
        <v>5</v>
      </c>
      <c r="E35" s="60">
        <v>40</v>
      </c>
      <c r="F35" s="60"/>
      <c r="G35" s="60"/>
      <c r="H35" s="60"/>
      <c r="I35" s="60"/>
      <c r="J35" s="60"/>
      <c r="K35" s="106">
        <f>(Periode!BB35*E35/40)+((F35+H35+I35)*Periode!BD35/40)+(J35*Periode!BF35/40)+(G35*Periode!BE35/40)</f>
        <v>633.35500000000002</v>
      </c>
      <c r="L35" s="132">
        <v>10</v>
      </c>
      <c r="M35" s="61"/>
      <c r="N35" s="136">
        <f>(L35*D35*2)+M35</f>
        <v>100</v>
      </c>
      <c r="O35" s="42">
        <f>((L35*2*D35)+M35)*0.28</f>
        <v>28.000000000000004</v>
      </c>
      <c r="P35" s="73"/>
      <c r="Q35" s="43">
        <f t="shared" ref="Q35" si="4">K35+O35+P35</f>
        <v>661.35500000000002</v>
      </c>
      <c r="R35" s="560"/>
      <c r="S35" s="241" t="s">
        <v>185</v>
      </c>
      <c r="U35" s="343"/>
    </row>
    <row r="36" spans="1:23" s="246" customFormat="1" ht="15" customHeight="1">
      <c r="B36" s="1149"/>
      <c r="C36" s="242"/>
      <c r="D36" s="61"/>
      <c r="E36" s="60"/>
      <c r="F36" s="60"/>
      <c r="G36" s="60"/>
      <c r="H36" s="60"/>
      <c r="I36" s="60"/>
      <c r="J36" s="60"/>
      <c r="K36" s="106"/>
      <c r="L36" s="132"/>
      <c r="M36" s="61"/>
      <c r="N36" s="243"/>
      <c r="O36" s="42"/>
      <c r="P36" s="73"/>
      <c r="Q36" s="395"/>
      <c r="R36" s="1208"/>
      <c r="S36" s="277"/>
      <c r="U36" s="412"/>
    </row>
    <row r="37" spans="1:23" s="246" customFormat="1" ht="15" customHeight="1">
      <c r="B37" s="1149"/>
      <c r="C37" s="242"/>
      <c r="D37" s="61"/>
      <c r="E37" s="60"/>
      <c r="F37" s="60"/>
      <c r="G37" s="60"/>
      <c r="H37" s="60"/>
      <c r="I37" s="60"/>
      <c r="J37" s="60"/>
      <c r="K37" s="106"/>
      <c r="L37" s="132"/>
      <c r="M37" s="61"/>
      <c r="N37" s="243"/>
      <c r="O37" s="42"/>
      <c r="P37" s="73"/>
      <c r="Q37" s="395"/>
      <c r="R37" s="1208"/>
      <c r="S37" s="277"/>
      <c r="U37" s="412"/>
    </row>
    <row r="38" spans="1:23" s="91" customFormat="1" ht="14.25" customHeight="1">
      <c r="B38" s="1149"/>
      <c r="C38" s="5"/>
      <c r="D38" s="61"/>
      <c r="E38" s="60"/>
      <c r="F38" s="60"/>
      <c r="G38" s="60"/>
      <c r="H38" s="60"/>
      <c r="I38" s="60"/>
      <c r="J38" s="60"/>
      <c r="K38" s="106"/>
      <c r="L38" s="132"/>
      <c r="M38" s="61"/>
      <c r="N38" s="136"/>
      <c r="O38" s="42"/>
      <c r="P38" s="73"/>
      <c r="Q38" s="43"/>
      <c r="R38" s="722"/>
      <c r="S38" s="241"/>
      <c r="U38" s="343"/>
    </row>
    <row r="39" spans="1:23" s="91" customFormat="1" ht="15" customHeight="1">
      <c r="B39" s="1149" t="str">
        <f>Periode!B39</f>
        <v>Jan Levering</v>
      </c>
      <c r="C39" s="5" t="str">
        <f>Periode!G39</f>
        <v>32 (4wk)</v>
      </c>
      <c r="D39" s="61"/>
      <c r="E39" s="60"/>
      <c r="F39" s="60"/>
      <c r="G39" s="60"/>
      <c r="H39" s="235"/>
      <c r="I39" s="235"/>
      <c r="J39" s="235"/>
      <c r="K39" s="106">
        <f>(Periode!BB39*E39/40)+((F39+H39+I39)*Periode!BD39/40)+(J39*Periode!BF39/40)+(G39*Periode!BE39/40)</f>
        <v>0</v>
      </c>
      <c r="L39" s="136"/>
      <c r="M39" s="136"/>
      <c r="N39" s="136"/>
      <c r="O39" s="42"/>
      <c r="P39" s="73">
        <v>143.37</v>
      </c>
      <c r="Q39" s="43">
        <f t="shared" ref="Q39" si="5">K39+O39+P39</f>
        <v>143.37</v>
      </c>
      <c r="R39" s="563" t="s">
        <v>470</v>
      </c>
      <c r="S39" s="241" t="s">
        <v>186</v>
      </c>
      <c r="T39" s="674"/>
      <c r="U39" s="673"/>
    </row>
    <row r="40" spans="1:23" s="87" customFormat="1" ht="15" customHeight="1">
      <c r="A40" s="246"/>
      <c r="B40" s="1149"/>
      <c r="C40" s="172"/>
      <c r="D40" s="61"/>
      <c r="E40" s="60"/>
      <c r="F40" s="60"/>
      <c r="G40" s="60"/>
      <c r="H40" s="60"/>
      <c r="I40" s="60"/>
      <c r="J40" s="60"/>
      <c r="K40" s="106"/>
      <c r="L40" s="132"/>
      <c r="M40" s="61"/>
      <c r="N40" s="243"/>
      <c r="O40" s="42"/>
      <c r="P40" s="73"/>
      <c r="Q40" s="395"/>
      <c r="R40" s="560"/>
      <c r="S40" s="409"/>
      <c r="T40" s="343"/>
      <c r="U40" s="390"/>
    </row>
    <row r="41" spans="1:23" s="87" customFormat="1" ht="15" customHeight="1">
      <c r="A41" s="246"/>
      <c r="B41" s="1149"/>
      <c r="C41" s="172"/>
      <c r="D41" s="61"/>
      <c r="E41" s="60"/>
      <c r="F41" s="60"/>
      <c r="G41" s="60"/>
      <c r="H41" s="60"/>
      <c r="I41" s="60"/>
      <c r="J41" s="60"/>
      <c r="K41" s="106"/>
      <c r="L41" s="132"/>
      <c r="M41" s="61"/>
      <c r="N41" s="243"/>
      <c r="O41" s="42"/>
      <c r="P41" s="73"/>
      <c r="Q41" s="395"/>
      <c r="R41" s="1151"/>
      <c r="S41" s="390"/>
      <c r="U41" s="409"/>
    </row>
    <row r="42" spans="1:23" s="91" customFormat="1" ht="15" customHeight="1">
      <c r="B42" s="1149" t="str">
        <f>Periode!B42</f>
        <v>Alex van der Laan</v>
      </c>
      <c r="C42" s="5" t="str">
        <f>Periode!G42</f>
        <v>32 (wk)</v>
      </c>
      <c r="D42" s="61">
        <v>5</v>
      </c>
      <c r="E42" s="60">
        <v>36</v>
      </c>
      <c r="F42" s="60"/>
      <c r="G42" s="60"/>
      <c r="H42" s="60"/>
      <c r="I42" s="60"/>
      <c r="J42" s="60"/>
      <c r="K42" s="106">
        <f>(Periode!BB42*E42/40)+((F42+H42+I42)*Periode!BD42/40)+(J42*Periode!BF42/40)+(G42*Periode!BE42/40)</f>
        <v>606.375</v>
      </c>
      <c r="L42" s="132"/>
      <c r="M42" s="61"/>
      <c r="N42" s="136"/>
      <c r="O42" s="42"/>
      <c r="P42" s="73"/>
      <c r="Q42" s="43">
        <f>K42+O42+P42</f>
        <v>606.375</v>
      </c>
      <c r="R42" s="560" t="s">
        <v>463</v>
      </c>
      <c r="S42" s="241" t="s">
        <v>135</v>
      </c>
      <c r="U42" s="343"/>
    </row>
    <row r="43" spans="1:23" s="262" customFormat="1" ht="15" customHeight="1" thickBot="1">
      <c r="A43" s="246"/>
      <c r="B43" s="1149"/>
      <c r="C43" s="5"/>
      <c r="D43" s="61"/>
      <c r="E43" s="60"/>
      <c r="F43" s="60"/>
      <c r="G43" s="60"/>
      <c r="H43" s="60"/>
      <c r="I43" s="60"/>
      <c r="J43" s="60"/>
      <c r="K43" s="106"/>
      <c r="L43" s="132"/>
      <c r="M43" s="61"/>
      <c r="N43" s="243"/>
      <c r="O43" s="42"/>
      <c r="P43" s="73"/>
      <c r="Q43" s="395"/>
      <c r="R43" s="1226" t="s">
        <v>446</v>
      </c>
      <c r="S43" s="397"/>
      <c r="U43" s="414"/>
    </row>
    <row r="44" spans="1:23" s="91" customFormat="1" ht="15" customHeight="1">
      <c r="B44" s="1149"/>
      <c r="C44" s="5"/>
      <c r="D44" s="61"/>
      <c r="E44" s="60"/>
      <c r="F44" s="235"/>
      <c r="G44" s="235"/>
      <c r="H44" s="235"/>
      <c r="I44" s="235"/>
      <c r="J44" s="235"/>
      <c r="K44" s="106"/>
      <c r="L44" s="132"/>
      <c r="M44" s="61"/>
      <c r="N44" s="136"/>
      <c r="O44" s="42"/>
      <c r="P44" s="73"/>
      <c r="Q44" s="43"/>
      <c r="R44" s="962">
        <f>K46</f>
        <v>463.9453125</v>
      </c>
      <c r="S44" s="878" t="s">
        <v>175</v>
      </c>
      <c r="T44" s="825"/>
      <c r="U44" s="826"/>
      <c r="V44" s="825"/>
      <c r="W44" s="827"/>
    </row>
    <row r="45" spans="1:23" s="91" customFormat="1" ht="15" customHeight="1">
      <c r="B45" s="1149"/>
      <c r="C45" s="5"/>
      <c r="D45" s="61"/>
      <c r="E45" s="60"/>
      <c r="F45" s="235"/>
      <c r="G45" s="235"/>
      <c r="H45" s="235"/>
      <c r="I45" s="235"/>
      <c r="J45" s="235"/>
      <c r="K45" s="106"/>
      <c r="L45" s="132"/>
      <c r="M45" s="61"/>
      <c r="N45" s="136"/>
      <c r="O45" s="42"/>
      <c r="P45" s="73"/>
      <c r="Q45" s="43"/>
      <c r="R45" s="962" t="s">
        <v>452</v>
      </c>
      <c r="S45" s="676" t="s">
        <v>151</v>
      </c>
      <c r="U45" s="343"/>
      <c r="W45" s="858"/>
    </row>
    <row r="46" spans="1:23" s="87" customFormat="1" ht="15" customHeight="1" thickBot="1">
      <c r="A46" s="91"/>
      <c r="B46" s="1149" t="str">
        <f>Periode!B46</f>
        <v>Shafieq Asgarali</v>
      </c>
      <c r="C46" s="5" t="str">
        <f>Periode!G46</f>
        <v>32 (4wk)</v>
      </c>
      <c r="D46" s="61">
        <v>5</v>
      </c>
      <c r="E46" s="60">
        <v>37.5</v>
      </c>
      <c r="F46" s="60"/>
      <c r="G46" s="60"/>
      <c r="H46" s="60"/>
      <c r="I46" s="235"/>
      <c r="J46" s="235"/>
      <c r="K46" s="106">
        <f>(Periode!BB46*E46/40)+((F46+H46+I46)*Periode!BD46/40)+(J46*Periode!BF46/40)+(G46*Periode!BE46/40)</f>
        <v>463.9453125</v>
      </c>
      <c r="L46" s="132"/>
      <c r="M46" s="61"/>
      <c r="N46" s="136"/>
      <c r="O46" s="42"/>
      <c r="P46" s="1146">
        <f>(D46*Periode!AY46)</f>
        <v>58.25</v>
      </c>
      <c r="Q46" s="43">
        <f>K46+O46+P46</f>
        <v>522.1953125</v>
      </c>
      <c r="R46" s="962">
        <f>P46</f>
        <v>58.25</v>
      </c>
      <c r="S46" s="877" t="s">
        <v>258</v>
      </c>
      <c r="T46" s="671"/>
      <c r="U46" s="672"/>
      <c r="V46" s="671"/>
      <c r="W46" s="859"/>
    </row>
    <row r="47" spans="1:23" s="87" customFormat="1" ht="15" customHeight="1" thickBot="1">
      <c r="B47" s="1149"/>
      <c r="C47" s="5"/>
      <c r="D47" s="61"/>
      <c r="E47" s="60"/>
      <c r="F47" s="60"/>
      <c r="G47" s="60"/>
      <c r="H47" s="60"/>
      <c r="I47" s="60"/>
      <c r="J47" s="60"/>
      <c r="K47" s="106"/>
      <c r="L47" s="132"/>
      <c r="M47" s="61"/>
      <c r="N47" s="61"/>
      <c r="O47" s="42"/>
      <c r="P47" s="396"/>
      <c r="Q47" s="43"/>
      <c r="R47" s="960" t="s">
        <v>471</v>
      </c>
      <c r="S47" s="676"/>
      <c r="T47" s="854"/>
      <c r="U47" s="855"/>
      <c r="V47" s="854"/>
      <c r="W47" s="854"/>
    </row>
    <row r="48" spans="1:23" s="91" customFormat="1" ht="15" customHeight="1">
      <c r="B48" s="1149" t="str">
        <f>Periode!B48</f>
        <v>Sander van den Hoek</v>
      </c>
      <c r="C48" s="5" t="str">
        <f>Periode!G48</f>
        <v>32 (wk)</v>
      </c>
      <c r="D48" s="61"/>
      <c r="E48" s="60"/>
      <c r="F48" s="60"/>
      <c r="G48" s="60">
        <f>(5*7.4)*0.9</f>
        <v>33.300000000000004</v>
      </c>
      <c r="H48" s="60"/>
      <c r="I48" s="60"/>
      <c r="J48" s="60"/>
      <c r="K48" s="106">
        <f>(Periode!BB48*E48/40)+((F48+H48+I48)*Periode!BD48/40)+(J48*Periode!BF48/40)+(G48*Periode!BE48/40)</f>
        <v>478.62506250000013</v>
      </c>
      <c r="L48" s="132">
        <v>5</v>
      </c>
      <c r="M48" s="136"/>
      <c r="N48" s="136">
        <f>(L48*D48*2)+M48</f>
        <v>0</v>
      </c>
      <c r="O48" s="561">
        <f>((L48*2*D48)+M48)*0.23</f>
        <v>0</v>
      </c>
      <c r="P48" s="1146">
        <f>(D48*Periode!AY48)</f>
        <v>0</v>
      </c>
      <c r="Q48" s="43">
        <f>K48+O48+P48+P49</f>
        <v>478.62506250000013</v>
      </c>
      <c r="R48" s="1229">
        <f>(1301*12/13)-K48</f>
        <v>722.29801442307678</v>
      </c>
      <c r="S48" s="878" t="s">
        <v>257</v>
      </c>
      <c r="T48" s="825"/>
      <c r="U48" s="826"/>
      <c r="V48" s="825"/>
      <c r="W48" s="827"/>
    </row>
    <row r="49" spans="2:30" s="87" customFormat="1" ht="15" customHeight="1">
      <c r="B49" s="1149"/>
      <c r="C49" s="172"/>
      <c r="D49" s="61"/>
      <c r="E49" s="60"/>
      <c r="F49" s="60"/>
      <c r="G49" s="60"/>
      <c r="H49" s="60"/>
      <c r="I49" s="60"/>
      <c r="J49" s="60"/>
      <c r="K49" s="106"/>
      <c r="L49" s="132"/>
      <c r="M49" s="61"/>
      <c r="N49" s="61"/>
      <c r="O49" s="42"/>
      <c r="P49" s="73"/>
      <c r="Q49" s="559"/>
      <c r="R49" s="962" t="s">
        <v>256</v>
      </c>
      <c r="S49" s="676" t="s">
        <v>247</v>
      </c>
      <c r="T49" s="854"/>
      <c r="U49" s="855"/>
      <c r="V49" s="854"/>
      <c r="W49" s="959"/>
    </row>
    <row r="50" spans="2:30" s="262" customFormat="1" ht="15" customHeight="1" thickBot="1">
      <c r="B50" s="1149"/>
      <c r="C50" s="172">
        <f>Periode!G50</f>
        <v>0</v>
      </c>
      <c r="D50" s="205"/>
      <c r="E50" s="259"/>
      <c r="F50" s="259"/>
      <c r="G50" s="259"/>
      <c r="H50" s="259"/>
      <c r="I50" s="259"/>
      <c r="J50" s="259"/>
      <c r="K50" s="106"/>
      <c r="L50" s="205"/>
      <c r="M50" s="205"/>
      <c r="N50" s="205"/>
      <c r="O50" s="42"/>
      <c r="P50" s="261"/>
      <c r="Q50" s="304"/>
      <c r="R50" s="1228">
        <f>Q48</f>
        <v>478.62506250000013</v>
      </c>
      <c r="S50" s="877" t="s">
        <v>248</v>
      </c>
      <c r="T50" s="671"/>
      <c r="U50" s="672"/>
      <c r="V50" s="671"/>
      <c r="W50" s="859"/>
    </row>
    <row r="51" spans="2:30" s="91" customFormat="1" ht="15" customHeight="1">
      <c r="B51" s="1149"/>
      <c r="C51" s="5"/>
      <c r="D51" s="61"/>
      <c r="E51" s="60"/>
      <c r="F51" s="60"/>
      <c r="G51" s="60"/>
      <c r="H51" s="60"/>
      <c r="I51" s="60"/>
      <c r="J51" s="60"/>
      <c r="K51" s="106"/>
      <c r="L51" s="132"/>
      <c r="M51" s="136"/>
      <c r="N51" s="136"/>
      <c r="O51" s="42"/>
      <c r="P51" s="73"/>
      <c r="Q51" s="43"/>
      <c r="R51" s="560"/>
      <c r="S51" s="241"/>
      <c r="U51" s="343"/>
    </row>
    <row r="52" spans="2:30" s="91" customFormat="1" ht="15" customHeight="1">
      <c r="B52" s="1149"/>
      <c r="C52" s="5"/>
      <c r="D52" s="61"/>
      <c r="E52" s="60"/>
      <c r="F52" s="60"/>
      <c r="G52" s="235"/>
      <c r="H52" s="235"/>
      <c r="I52" s="235"/>
      <c r="J52" s="60"/>
      <c r="K52" s="106"/>
      <c r="L52" s="136"/>
      <c r="M52" s="136"/>
      <c r="N52" s="136"/>
      <c r="O52" s="42"/>
      <c r="P52" s="42"/>
      <c r="Q52" s="43"/>
      <c r="R52" s="971"/>
      <c r="S52" s="241"/>
      <c r="U52" s="343"/>
      <c r="AA52" s="87"/>
      <c r="AB52" s="87"/>
      <c r="AC52" s="87"/>
      <c r="AD52" s="87"/>
    </row>
    <row r="53" spans="2:30" s="91" customFormat="1" ht="15" customHeight="1">
      <c r="B53" s="1149" t="str">
        <f>Periode!B53</f>
        <v>Ronald van Maanen</v>
      </c>
      <c r="C53" s="5" t="str">
        <f>Periode!G53</f>
        <v>32 (4wk)</v>
      </c>
      <c r="D53" s="61">
        <v>5</v>
      </c>
      <c r="E53" s="60">
        <v>38</v>
      </c>
      <c r="F53" s="60"/>
      <c r="G53" s="60"/>
      <c r="H53" s="60"/>
      <c r="I53" s="60"/>
      <c r="J53" s="60"/>
      <c r="K53" s="106">
        <f>(Periode!BB53*E53/40)+((F53+H53+I53)*Periode!BD53/40)+(J53*Periode!BF53/40)+(G53*Periode!BE53/40)</f>
        <v>696.58750000000009</v>
      </c>
      <c r="L53" s="132">
        <v>49</v>
      </c>
      <c r="M53" s="136"/>
      <c r="N53" s="136">
        <f>(L53*D53*2)+M53</f>
        <v>490</v>
      </c>
      <c r="O53" s="42">
        <f>((L53*2*D53)+M53)*0.28</f>
        <v>137.20000000000002</v>
      </c>
      <c r="P53" s="73"/>
      <c r="Q53" s="43">
        <f t="shared" ref="Q53" si="6">K53+O53+P53</f>
        <v>833.78750000000014</v>
      </c>
      <c r="R53" s="560" t="s">
        <v>459</v>
      </c>
      <c r="S53" s="241" t="s">
        <v>392</v>
      </c>
      <c r="U53" s="343"/>
    </row>
    <row r="54" spans="2:30" s="87" customFormat="1" ht="15" customHeight="1">
      <c r="B54" s="1149"/>
      <c r="C54" s="172">
        <f>Periode!H75</f>
        <v>0</v>
      </c>
      <c r="D54" s="61"/>
      <c r="E54" s="60"/>
      <c r="F54" s="60"/>
      <c r="G54" s="60"/>
      <c r="H54" s="60"/>
      <c r="I54" s="60"/>
      <c r="J54" s="60"/>
      <c r="K54" s="106"/>
      <c r="L54" s="132"/>
      <c r="M54" s="61"/>
      <c r="N54" s="61"/>
      <c r="O54" s="42"/>
      <c r="P54" s="73"/>
      <c r="Q54" s="389"/>
      <c r="R54" s="814"/>
      <c r="S54" s="407"/>
      <c r="U54" s="409"/>
    </row>
    <row r="55" spans="2:30" s="87" customFormat="1" ht="15" customHeight="1">
      <c r="B55" s="1149"/>
      <c r="C55" s="172">
        <f>Periode!H76</f>
        <v>0</v>
      </c>
      <c r="D55" s="61"/>
      <c r="E55" s="60"/>
      <c r="F55" s="60"/>
      <c r="G55" s="60"/>
      <c r="H55" s="60"/>
      <c r="I55" s="60"/>
      <c r="J55" s="60"/>
      <c r="K55" s="106"/>
      <c r="L55" s="132"/>
      <c r="M55" s="61"/>
      <c r="N55" s="61"/>
      <c r="O55" s="42"/>
      <c r="P55" s="73"/>
      <c r="Q55" s="389"/>
      <c r="R55" s="813"/>
      <c r="S55" s="407"/>
      <c r="U55" s="409"/>
    </row>
    <row r="56" spans="2:30" s="91" customFormat="1" ht="15" customHeight="1">
      <c r="B56" s="1149"/>
      <c r="C56" s="5"/>
      <c r="D56" s="61"/>
      <c r="E56" s="60"/>
      <c r="F56" s="235"/>
      <c r="G56" s="235"/>
      <c r="H56" s="235"/>
      <c r="I56" s="235"/>
      <c r="J56" s="60"/>
      <c r="K56" s="106"/>
      <c r="L56" s="132"/>
      <c r="M56" s="136"/>
      <c r="N56" s="136"/>
      <c r="O56" s="42"/>
      <c r="P56" s="73"/>
      <c r="Q56" s="43"/>
      <c r="R56" s="723"/>
      <c r="S56" s="241"/>
      <c r="U56" s="343"/>
    </row>
    <row r="57" spans="2:30" s="91" customFormat="1" ht="15" customHeight="1">
      <c r="B57" s="1149" t="str">
        <f>Periode!B57</f>
        <v>Erik Visser</v>
      </c>
      <c r="C57" s="5" t="str">
        <f>Periode!G57</f>
        <v>32 (4wk)</v>
      </c>
      <c r="D57" s="61">
        <v>5</v>
      </c>
      <c r="E57" s="60">
        <v>35</v>
      </c>
      <c r="F57" s="60"/>
      <c r="G57" s="60"/>
      <c r="H57" s="60"/>
      <c r="I57" s="60"/>
      <c r="J57" s="60"/>
      <c r="K57" s="106">
        <f>(Periode!BB57*E57/40)+((F57+H57+I57)*Periode!BD57/40)+(J57*Periode!BF57/40)+(G57*Periode!BE57/40)</f>
        <v>490.38500000000005</v>
      </c>
      <c r="L57" s="132">
        <v>14</v>
      </c>
      <c r="M57" s="136">
        <f>82+30+64+30+72</f>
        <v>278</v>
      </c>
      <c r="N57" s="136">
        <f>(L57*D57*2)+M57</f>
        <v>418</v>
      </c>
      <c r="O57" s="1190">
        <f>((L57*2*D57))*0.23+(M57*0.28)</f>
        <v>110.04</v>
      </c>
      <c r="P57" s="73"/>
      <c r="Q57" s="43">
        <f t="shared" ref="Q57" si="7">K57+O57+P57</f>
        <v>600.42500000000007</v>
      </c>
      <c r="R57" s="971" t="s">
        <v>460</v>
      </c>
      <c r="S57" s="241" t="s">
        <v>419</v>
      </c>
      <c r="U57" s="343"/>
    </row>
    <row r="58" spans="2:30">
      <c r="K58" s="106"/>
      <c r="Q58" s="1198"/>
      <c r="R58" s="971"/>
      <c r="S58" s="407" t="s">
        <v>438</v>
      </c>
    </row>
    <row r="59" spans="2:30" s="91" customFormat="1" ht="15" customHeight="1">
      <c r="B59" s="1149"/>
      <c r="C59" s="242">
        <f>Periode!G59</f>
        <v>0</v>
      </c>
      <c r="D59" s="243"/>
      <c r="E59" s="406"/>
      <c r="F59" s="406"/>
      <c r="G59" s="406"/>
      <c r="H59" s="406"/>
      <c r="I59" s="406"/>
      <c r="J59" s="406"/>
      <c r="K59" s="244">
        <f>(Periode!BB59*E59/40)+((F59+H59+I59)*Periode!BD59/40)+(J59*Periode!BF59/40)+(G59*Periode!BE59/40)</f>
        <v>0</v>
      </c>
      <c r="L59" s="132"/>
      <c r="M59" s="243"/>
      <c r="N59" s="243"/>
      <c r="O59" s="42"/>
      <c r="P59" s="245"/>
      <c r="Q59" s="395">
        <f>K59+O59+P59</f>
        <v>0</v>
      </c>
      <c r="R59" s="722"/>
      <c r="S59" s="241"/>
      <c r="U59" s="343"/>
    </row>
    <row r="60" spans="2:30" s="91" customFormat="1" ht="15" customHeight="1">
      <c r="B60" s="1149"/>
      <c r="C60" s="5"/>
      <c r="D60" s="61"/>
      <c r="E60" s="60"/>
      <c r="F60" s="60"/>
      <c r="G60" s="60"/>
      <c r="H60" s="60"/>
      <c r="I60" s="60"/>
      <c r="J60" s="60"/>
      <c r="K60" s="106"/>
      <c r="L60" s="132"/>
      <c r="M60" s="136"/>
      <c r="N60" s="136"/>
      <c r="O60" s="42"/>
      <c r="P60" s="73"/>
      <c r="Q60" s="43"/>
      <c r="R60" s="1226" t="s">
        <v>446</v>
      </c>
      <c r="S60" s="241"/>
      <c r="U60" s="343"/>
    </row>
    <row r="61" spans="2:30" s="87" customFormat="1" ht="15" customHeight="1">
      <c r="B61" s="1149"/>
      <c r="C61" s="172"/>
      <c r="D61" s="61"/>
      <c r="E61" s="60"/>
      <c r="F61" s="60"/>
      <c r="G61" s="60"/>
      <c r="H61" s="60"/>
      <c r="I61" s="60"/>
      <c r="J61" s="60"/>
      <c r="K61" s="106"/>
      <c r="L61" s="112"/>
      <c r="M61" s="112"/>
      <c r="N61" s="112"/>
      <c r="O61" s="42"/>
      <c r="P61" s="73"/>
      <c r="Q61" s="389"/>
      <c r="R61" s="1227">
        <f>K63</f>
        <v>463.9453125</v>
      </c>
      <c r="S61" s="407"/>
      <c r="U61" s="409"/>
    </row>
    <row r="62" spans="2:30" s="87" customFormat="1" ht="15" customHeight="1">
      <c r="B62" s="1149"/>
      <c r="C62" s="5"/>
      <c r="D62" s="61"/>
      <c r="E62" s="60"/>
      <c r="F62" s="235"/>
      <c r="G62" s="235"/>
      <c r="H62" s="235"/>
      <c r="I62" s="235"/>
      <c r="J62" s="60"/>
      <c r="K62" s="106"/>
      <c r="L62" s="112"/>
      <c r="M62" s="112"/>
      <c r="N62" s="112"/>
      <c r="O62" s="42"/>
      <c r="P62" s="73"/>
      <c r="Q62" s="389"/>
      <c r="R62" s="1227" t="s">
        <v>453</v>
      </c>
      <c r="S62" s="407"/>
      <c r="U62" s="409"/>
    </row>
    <row r="63" spans="2:30" s="91" customFormat="1" ht="15" customHeight="1">
      <c r="B63" s="1149" t="str">
        <f>Periode!B63</f>
        <v>Youri Nouwens</v>
      </c>
      <c r="C63" s="5" t="str">
        <f>Periode!G63</f>
        <v>32 (4wk)</v>
      </c>
      <c r="D63" s="61"/>
      <c r="E63" s="60">
        <v>37.5</v>
      </c>
      <c r="F63" s="60"/>
      <c r="G63" s="60"/>
      <c r="H63" s="235"/>
      <c r="I63" s="60"/>
      <c r="J63" s="60"/>
      <c r="K63" s="106">
        <f>(Periode!BB63*E63/40)+((F63+H63+I63)*Periode!BD63/40)+(J63*Periode!BF63/40)+(G63*Periode!BE63/40)</f>
        <v>463.9453125</v>
      </c>
      <c r="L63" s="132"/>
      <c r="M63" s="136"/>
      <c r="N63" s="136"/>
      <c r="O63" s="42"/>
      <c r="P63" s="1146">
        <f>(D63*Periode!AY63)</f>
        <v>0</v>
      </c>
      <c r="Q63" s="43">
        <f t="shared" ref="Q63" si="8">K63+O63+P63</f>
        <v>463.9453125</v>
      </c>
      <c r="R63" s="962">
        <f>P63</f>
        <v>0</v>
      </c>
      <c r="S63" s="241" t="s">
        <v>158</v>
      </c>
      <c r="U63" s="343"/>
    </row>
    <row r="64" spans="2:30" s="87" customFormat="1" ht="15" customHeight="1">
      <c r="B64" s="1149"/>
      <c r="C64" s="172"/>
      <c r="D64" s="61"/>
      <c r="E64" s="60"/>
      <c r="F64" s="60"/>
      <c r="G64" s="60"/>
      <c r="H64" s="60"/>
      <c r="I64" s="60"/>
      <c r="J64" s="60"/>
      <c r="K64" s="106"/>
      <c r="L64" s="132"/>
      <c r="M64" s="61"/>
      <c r="N64" s="61"/>
      <c r="O64" s="42"/>
      <c r="P64" s="73"/>
      <c r="Q64" s="389"/>
      <c r="R64" s="1232" t="s">
        <v>472</v>
      </c>
      <c r="S64" s="676" t="s">
        <v>159</v>
      </c>
      <c r="T64" s="91"/>
      <c r="U64" s="91"/>
      <c r="V64" s="91"/>
      <c r="W64" s="91"/>
      <c r="X64" s="91"/>
      <c r="Y64" s="91"/>
    </row>
    <row r="65" spans="2:25" s="91" customFormat="1" ht="15" customHeight="1">
      <c r="B65" s="1149"/>
      <c r="C65" s="5"/>
      <c r="D65" s="61"/>
      <c r="E65" s="60"/>
      <c r="F65" s="235"/>
      <c r="G65" s="235"/>
      <c r="H65" s="235"/>
      <c r="I65" s="235"/>
      <c r="J65" s="469"/>
      <c r="K65" s="106"/>
      <c r="L65" s="132"/>
      <c r="M65" s="136"/>
      <c r="N65" s="136"/>
      <c r="O65" s="42"/>
      <c r="P65" s="42"/>
      <c r="Q65" s="43"/>
      <c r="R65" s="722"/>
      <c r="S65" s="676" t="s">
        <v>160</v>
      </c>
      <c r="T65" s="87"/>
      <c r="U65" s="87"/>
      <c r="V65" s="87"/>
      <c r="W65" s="87"/>
      <c r="X65" s="87"/>
      <c r="Y65" s="87"/>
    </row>
    <row r="66" spans="2:25" s="91" customFormat="1" ht="15" customHeight="1">
      <c r="B66" s="1149"/>
      <c r="C66" s="5"/>
      <c r="D66" s="61"/>
      <c r="E66" s="60"/>
      <c r="F66" s="60"/>
      <c r="G66" s="60"/>
      <c r="H66" s="235"/>
      <c r="I66" s="235"/>
      <c r="J66" s="60"/>
      <c r="K66" s="106"/>
      <c r="L66" s="132"/>
      <c r="M66" s="136"/>
      <c r="N66" s="136"/>
      <c r="O66" s="42"/>
      <c r="P66" s="73"/>
      <c r="Q66" s="43"/>
      <c r="R66" s="722"/>
      <c r="S66" s="241"/>
      <c r="U66" s="343"/>
    </row>
    <row r="67" spans="2:25" s="91" customFormat="1" ht="15" customHeight="1">
      <c r="B67" s="1149"/>
      <c r="C67" s="5"/>
      <c r="D67" s="61"/>
      <c r="E67" s="60"/>
      <c r="F67" s="60"/>
      <c r="G67" s="235"/>
      <c r="H67" s="235"/>
      <c r="I67" s="235"/>
      <c r="J67" s="235"/>
      <c r="K67" s="106"/>
      <c r="L67" s="136"/>
      <c r="M67" s="136"/>
      <c r="N67" s="136"/>
      <c r="O67" s="42"/>
      <c r="P67" s="73"/>
      <c r="Q67" s="43"/>
      <c r="R67" s="722"/>
      <c r="S67" s="390"/>
      <c r="U67" s="343"/>
    </row>
    <row r="68" spans="2:25" s="262" customFormat="1" ht="15" customHeight="1">
      <c r="B68" s="1149"/>
      <c r="C68" s="172"/>
      <c r="D68" s="205"/>
      <c r="E68" s="259"/>
      <c r="F68" s="259"/>
      <c r="G68" s="259"/>
      <c r="H68" s="259"/>
      <c r="I68" s="259"/>
      <c r="J68" s="259"/>
      <c r="K68" s="106"/>
      <c r="L68" s="205">
        <v>52</v>
      </c>
      <c r="M68" s="205"/>
      <c r="N68" s="205">
        <f>(L68*D68*2)+M68</f>
        <v>0</v>
      </c>
      <c r="O68" s="42"/>
      <c r="P68" s="261"/>
      <c r="Q68" s="304">
        <f>K68+O68+P68</f>
        <v>0</v>
      </c>
      <c r="R68" s="722"/>
      <c r="S68" s="390"/>
      <c r="U68" s="414"/>
    </row>
    <row r="69" spans="2:25" s="87" customFormat="1" ht="15" customHeight="1">
      <c r="B69" s="1149"/>
      <c r="C69" s="172"/>
      <c r="D69" s="61"/>
      <c r="E69" s="60"/>
      <c r="F69" s="60"/>
      <c r="G69" s="60"/>
      <c r="H69" s="60"/>
      <c r="I69" s="60"/>
      <c r="J69" s="60"/>
      <c r="K69" s="106"/>
      <c r="L69" s="132"/>
      <c r="M69" s="61"/>
      <c r="N69" s="61"/>
      <c r="O69" s="42"/>
      <c r="P69" s="73"/>
      <c r="Q69" s="389"/>
      <c r="R69" s="1209"/>
      <c r="S69" s="407"/>
      <c r="U69" s="409"/>
    </row>
    <row r="70" spans="2:25" s="91" customFormat="1" ht="15" customHeight="1">
      <c r="B70" s="1149" t="str">
        <f>Periode!B70</f>
        <v>Marco Booij</v>
      </c>
      <c r="C70" s="5" t="str">
        <f>Periode!G70</f>
        <v>32 (4wk)</v>
      </c>
      <c r="D70" s="61"/>
      <c r="E70" s="60"/>
      <c r="F70" s="60"/>
      <c r="G70" s="235"/>
      <c r="H70" s="235"/>
      <c r="I70" s="235"/>
      <c r="J70" s="60"/>
      <c r="K70" s="106">
        <f>(Periode!BB70*E70/40)+((F70+H70+I70)*Periode!BD70/40)+(J70*Periode!BF70/40)+(G70*Periode!BE70/40)</f>
        <v>0</v>
      </c>
      <c r="L70" s="132"/>
      <c r="M70" s="136"/>
      <c r="N70" s="136"/>
      <c r="O70" s="42"/>
      <c r="P70" s="73">
        <v>171.65</v>
      </c>
      <c r="Q70" s="43">
        <f>K70+O70+P70</f>
        <v>171.65</v>
      </c>
      <c r="R70" s="722" t="s">
        <v>405</v>
      </c>
      <c r="S70" s="241" t="s">
        <v>136</v>
      </c>
      <c r="U70" s="343"/>
    </row>
    <row r="71" spans="2:25" s="91" customFormat="1" ht="15" customHeight="1">
      <c r="B71" s="1149"/>
      <c r="C71" s="5"/>
      <c r="D71" s="61"/>
      <c r="E71" s="60"/>
      <c r="F71" s="235"/>
      <c r="G71" s="235"/>
      <c r="H71" s="235"/>
      <c r="I71" s="235"/>
      <c r="J71" s="469"/>
      <c r="K71" s="106"/>
      <c r="L71" s="132"/>
      <c r="M71" s="132"/>
      <c r="N71" s="136"/>
      <c r="O71" s="42"/>
      <c r="P71" s="42"/>
      <c r="Q71" s="43"/>
      <c r="R71" s="1177"/>
      <c r="S71" s="241"/>
      <c r="U71" s="343"/>
    </row>
    <row r="72" spans="2:25" s="262" customFormat="1" ht="15" customHeight="1">
      <c r="B72" s="1149"/>
      <c r="C72" s="172"/>
      <c r="D72" s="205"/>
      <c r="E72" s="259"/>
      <c r="F72" s="259"/>
      <c r="G72" s="259"/>
      <c r="H72" s="259"/>
      <c r="I72" s="259"/>
      <c r="J72" s="259"/>
      <c r="K72" s="106"/>
      <c r="L72" s="205">
        <v>50</v>
      </c>
      <c r="M72" s="205"/>
      <c r="N72" s="205">
        <f>(L72*D72*2)+M72</f>
        <v>0</v>
      </c>
      <c r="O72" s="42"/>
      <c r="P72" s="261"/>
      <c r="Q72" s="304">
        <f>K72+O72+P72</f>
        <v>0</v>
      </c>
      <c r="R72" s="563"/>
      <c r="S72" s="397" t="s">
        <v>129</v>
      </c>
      <c r="U72" s="414"/>
    </row>
    <row r="73" spans="2:25" s="87" customFormat="1" ht="15" customHeight="1">
      <c r="B73" s="1149"/>
      <c r="C73" s="172"/>
      <c r="D73" s="61"/>
      <c r="E73" s="60"/>
      <c r="F73" s="60"/>
      <c r="G73" s="60"/>
      <c r="H73" s="60"/>
      <c r="I73" s="60"/>
      <c r="J73" s="60"/>
      <c r="K73" s="106"/>
      <c r="L73" s="132"/>
      <c r="M73" s="61"/>
      <c r="N73" s="61"/>
      <c r="O73" s="42"/>
      <c r="P73" s="73"/>
      <c r="Q73" s="389"/>
      <c r="R73" s="1143"/>
      <c r="S73" s="407"/>
      <c r="U73" s="409"/>
    </row>
    <row r="74" spans="2:25" s="91" customFormat="1" ht="15" customHeight="1">
      <c r="B74" s="1149" t="str">
        <f>Periode!B74</f>
        <v>Kevin Schuiling</v>
      </c>
      <c r="C74" s="5" t="str">
        <f>Periode!G74</f>
        <v>32 (4wk)</v>
      </c>
      <c r="D74" s="61">
        <v>5</v>
      </c>
      <c r="E74" s="60">
        <v>40</v>
      </c>
      <c r="F74" s="60"/>
      <c r="G74" s="235"/>
      <c r="H74" s="235"/>
      <c r="I74" s="235"/>
      <c r="J74" s="60"/>
      <c r="K74" s="106">
        <f>(Periode!BB74*E74/40)+((F74+H74+I74)*Periode!BD74/40)+(J74*Periode!BF74/40)+(G74*Periode!BE74/40)</f>
        <v>600</v>
      </c>
      <c r="L74" s="132">
        <v>56</v>
      </c>
      <c r="M74" s="136">
        <f>-560+(4*56)+(6*57)</f>
        <v>6</v>
      </c>
      <c r="N74" s="136">
        <f>(L74*D74*2)+M74</f>
        <v>566</v>
      </c>
      <c r="O74" s="42">
        <f>((L74*2*D74)+M74)*0.28</f>
        <v>158.48000000000002</v>
      </c>
      <c r="P74" s="73"/>
      <c r="Q74" s="43">
        <f>K74+O74+P74</f>
        <v>758.48</v>
      </c>
      <c r="R74" s="722"/>
      <c r="S74" s="241" t="s">
        <v>481</v>
      </c>
      <c r="U74" s="343"/>
    </row>
    <row r="75" spans="2:25" s="87" customFormat="1" ht="15" customHeight="1">
      <c r="B75" s="1149"/>
      <c r="C75" s="172"/>
      <c r="D75" s="61"/>
      <c r="E75" s="60"/>
      <c r="F75" s="60"/>
      <c r="G75" s="60"/>
      <c r="H75" s="60"/>
      <c r="I75" s="60"/>
      <c r="J75" s="60"/>
      <c r="K75" s="106"/>
      <c r="L75" s="132"/>
      <c r="M75" s="61"/>
      <c r="N75" s="61"/>
      <c r="O75" s="42"/>
      <c r="P75" s="73"/>
      <c r="Q75" s="389"/>
      <c r="R75" s="722"/>
      <c r="S75" s="407"/>
      <c r="U75" s="409"/>
    </row>
    <row r="76" spans="2:25" s="87" customFormat="1" ht="15" customHeight="1">
      <c r="B76" s="1149"/>
      <c r="C76" s="172"/>
      <c r="D76" s="61"/>
      <c r="E76" s="60"/>
      <c r="F76" s="60"/>
      <c r="G76" s="60"/>
      <c r="H76" s="60"/>
      <c r="I76" s="60"/>
      <c r="J76" s="60"/>
      <c r="K76" s="106"/>
      <c r="L76" s="132"/>
      <c r="M76" s="61"/>
      <c r="N76" s="61"/>
      <c r="O76" s="42"/>
      <c r="P76" s="73"/>
      <c r="Q76" s="389"/>
      <c r="R76" s="1177"/>
      <c r="S76" s="407"/>
      <c r="U76" s="409"/>
    </row>
    <row r="77" spans="2:25" s="91" customFormat="1" ht="15" customHeight="1">
      <c r="B77" s="1149" t="str">
        <f>Periode!B77</f>
        <v>Steven Lamers</v>
      </c>
      <c r="C77" s="5" t="str">
        <f>Periode!G77</f>
        <v>32 (4wk)</v>
      </c>
      <c r="D77" s="61">
        <v>5</v>
      </c>
      <c r="E77" s="60">
        <v>40</v>
      </c>
      <c r="F77" s="60"/>
      <c r="G77" s="235"/>
      <c r="H77" s="235"/>
      <c r="I77" s="235"/>
      <c r="J77" s="60"/>
      <c r="K77" s="106">
        <f>(Periode!BB77*E77/40)+((F77+H77+I77)*Periode!BD77/40)+(J77*Periode!BF77/40)+(G77*Periode!BE77/40)</f>
        <v>663.32</v>
      </c>
      <c r="L77" s="132"/>
      <c r="M77" s="136"/>
      <c r="N77" s="136"/>
      <c r="O77" s="42"/>
      <c r="P77" s="73"/>
      <c r="Q77" s="43">
        <f>K77+O77+P77</f>
        <v>663.32</v>
      </c>
      <c r="R77" s="722"/>
      <c r="S77" s="241" t="s">
        <v>222</v>
      </c>
      <c r="U77" s="343"/>
    </row>
    <row r="78" spans="2:25" s="87" customFormat="1" ht="15" customHeight="1">
      <c r="B78" s="1149"/>
      <c r="C78" s="172">
        <f>Periode!H78</f>
        <v>0</v>
      </c>
      <c r="D78" s="61"/>
      <c r="E78" s="60"/>
      <c r="F78" s="60"/>
      <c r="G78" s="60"/>
      <c r="H78" s="60"/>
      <c r="I78" s="60"/>
      <c r="J78" s="60"/>
      <c r="K78" s="106"/>
      <c r="L78" s="132"/>
      <c r="M78" s="61"/>
      <c r="N78" s="61"/>
      <c r="O78" s="42"/>
      <c r="P78" s="73"/>
      <c r="Q78" s="389"/>
      <c r="R78" s="1177"/>
      <c r="S78" s="676" t="s">
        <v>228</v>
      </c>
      <c r="U78" s="409"/>
    </row>
    <row r="79" spans="2:25" s="87" customFormat="1" ht="15" customHeight="1">
      <c r="B79" s="1149"/>
      <c r="C79" s="172">
        <f>Periode!H79</f>
        <v>0</v>
      </c>
      <c r="D79" s="61"/>
      <c r="E79" s="60"/>
      <c r="F79" s="60"/>
      <c r="G79" s="60"/>
      <c r="H79" s="60"/>
      <c r="I79" s="60"/>
      <c r="J79" s="60"/>
      <c r="K79" s="106"/>
      <c r="L79" s="132"/>
      <c r="M79" s="61"/>
      <c r="N79" s="61"/>
      <c r="O79" s="42"/>
      <c r="P79" s="73"/>
      <c r="Q79" s="389"/>
      <c r="R79" s="722"/>
      <c r="S79" s="407"/>
      <c r="U79" s="409"/>
    </row>
    <row r="80" spans="2:25" s="91" customFormat="1" ht="15" customHeight="1">
      <c r="B80" s="1149" t="str">
        <f>Periode!B80</f>
        <v>Leo van Doorn</v>
      </c>
      <c r="C80" s="5" t="str">
        <f>Periode!G80</f>
        <v>0</v>
      </c>
      <c r="D80" s="61">
        <v>5</v>
      </c>
      <c r="E80" s="60">
        <v>40</v>
      </c>
      <c r="F80" s="60"/>
      <c r="G80" s="60"/>
      <c r="H80" s="60"/>
      <c r="I80" s="60"/>
      <c r="J80" s="235"/>
      <c r="K80" s="106">
        <f>(Periode!BB80*E80/40)+((F80+H80+I80)*Periode!BD80/40)+(J80*Periode!BF80/40)+(G80*Periode!BE80/40)</f>
        <v>711.76</v>
      </c>
      <c r="L80" s="132">
        <v>21</v>
      </c>
      <c r="M80" s="136"/>
      <c r="N80" s="136">
        <f>(L80*D80*2)+M80</f>
        <v>210</v>
      </c>
      <c r="O80" s="42">
        <f>((L80*2*D80)+M80)*0.28</f>
        <v>58.800000000000004</v>
      </c>
      <c r="P80" s="73"/>
      <c r="Q80" s="43">
        <f>K80+O80+P80</f>
        <v>770.56</v>
      </c>
      <c r="R80" s="722"/>
      <c r="S80" s="241" t="s">
        <v>238</v>
      </c>
      <c r="U80" s="343"/>
    </row>
    <row r="81" spans="2:21" s="87" customFormat="1" ht="15" customHeight="1">
      <c r="B81" s="1149"/>
      <c r="C81" s="172">
        <f>Periode!H81</f>
        <v>0</v>
      </c>
      <c r="D81" s="61"/>
      <c r="E81" s="60"/>
      <c r="F81" s="60"/>
      <c r="G81" s="60"/>
      <c r="H81" s="60"/>
      <c r="I81" s="60"/>
      <c r="J81" s="60"/>
      <c r="K81" s="106"/>
      <c r="L81" s="132"/>
      <c r="M81" s="61"/>
      <c r="N81" s="61"/>
      <c r="O81" s="42"/>
      <c r="P81" s="73"/>
      <c r="Q81" s="389"/>
      <c r="R81" s="722"/>
      <c r="S81" s="407"/>
      <c r="U81" s="409"/>
    </row>
    <row r="82" spans="2:21" s="87" customFormat="1" ht="15" customHeight="1">
      <c r="B82" s="1149"/>
      <c r="C82" s="172">
        <f>Periode!H82</f>
        <v>0</v>
      </c>
      <c r="D82" s="61"/>
      <c r="E82" s="60"/>
      <c r="F82" s="60"/>
      <c r="G82" s="60"/>
      <c r="H82" s="60"/>
      <c r="I82" s="60"/>
      <c r="J82" s="60"/>
      <c r="K82" s="106"/>
      <c r="L82" s="132"/>
      <c r="M82" s="61"/>
      <c r="N82" s="61"/>
      <c r="O82" s="42"/>
      <c r="P82" s="73"/>
      <c r="Q82" s="389"/>
      <c r="R82" s="722"/>
      <c r="S82" s="407"/>
      <c r="U82" s="409"/>
    </row>
    <row r="83" spans="2:21" s="91" customFormat="1" ht="15" customHeight="1">
      <c r="B83" s="1149" t="str">
        <f>Periode!B83</f>
        <v>Tobin van de Kuil</v>
      </c>
      <c r="C83" s="5" t="str">
        <f>Periode!G83</f>
        <v>0</v>
      </c>
      <c r="D83" s="61">
        <v>4</v>
      </c>
      <c r="E83" s="60">
        <v>30</v>
      </c>
      <c r="F83" s="60"/>
      <c r="G83" s="60"/>
      <c r="H83" s="60"/>
      <c r="I83" s="60"/>
      <c r="J83" s="235"/>
      <c r="K83" s="106">
        <f>(Periode!BB83*E83/40)+((F83+H83+I83)*Periode!BD83/40)+(J83*Periode!BF83/40)+(G83*Periode!BE83/40)</f>
        <v>564.59624999999994</v>
      </c>
      <c r="L83" s="132">
        <v>0</v>
      </c>
      <c r="M83" s="136">
        <v>324</v>
      </c>
      <c r="N83" s="136">
        <f>(L83*D83*2)+M83</f>
        <v>324</v>
      </c>
      <c r="O83" s="42">
        <f>((L83*2*D83)+M83)*0.28</f>
        <v>90.720000000000013</v>
      </c>
      <c r="P83" s="73">
        <v>28.28</v>
      </c>
      <c r="Q83" s="43">
        <f>K83+O83+P83</f>
        <v>683.59624999999994</v>
      </c>
      <c r="R83" s="722" t="s">
        <v>483</v>
      </c>
      <c r="S83" s="241" t="s">
        <v>420</v>
      </c>
      <c r="U83" s="343"/>
    </row>
    <row r="84" spans="2:21" s="87" customFormat="1" ht="15" customHeight="1">
      <c r="B84" s="1149"/>
      <c r="C84" s="172">
        <f>Periode!H84</f>
        <v>0</v>
      </c>
      <c r="D84" s="61"/>
      <c r="E84" s="60"/>
      <c r="F84" s="60"/>
      <c r="G84" s="60"/>
      <c r="H84" s="60"/>
      <c r="I84" s="60"/>
      <c r="J84" s="60"/>
      <c r="K84" s="106"/>
      <c r="L84" s="132"/>
      <c r="M84" s="61"/>
      <c r="N84" s="61"/>
      <c r="O84" s="42"/>
      <c r="P84" s="73"/>
      <c r="Q84" s="389"/>
      <c r="R84" s="722" t="s">
        <v>545</v>
      </c>
      <c r="S84" s="407"/>
      <c r="U84" s="409"/>
    </row>
    <row r="85" spans="2:21" s="87" customFormat="1" ht="15" customHeight="1">
      <c r="B85" s="1149"/>
      <c r="C85" s="172">
        <f>Periode!H85</f>
        <v>0</v>
      </c>
      <c r="D85" s="61"/>
      <c r="E85" s="60"/>
      <c r="F85" s="60"/>
      <c r="G85" s="60"/>
      <c r="H85" s="60"/>
      <c r="I85" s="60"/>
      <c r="J85" s="60"/>
      <c r="K85" s="106"/>
      <c r="L85" s="132"/>
      <c r="M85" s="61"/>
      <c r="N85" s="61"/>
      <c r="O85" s="42"/>
      <c r="P85" s="73"/>
      <c r="Q85" s="389"/>
      <c r="R85" s="722"/>
      <c r="S85" s="407"/>
      <c r="U85" s="409"/>
    </row>
    <row r="86" spans="2:21" s="87" customFormat="1" ht="15" customHeight="1">
      <c r="B86" s="1149"/>
      <c r="C86" s="172">
        <f>Periode!H86</f>
        <v>0</v>
      </c>
      <c r="D86" s="61"/>
      <c r="E86" s="60"/>
      <c r="F86" s="60"/>
      <c r="G86" s="60"/>
      <c r="H86" s="60"/>
      <c r="I86" s="60"/>
      <c r="J86" s="60"/>
      <c r="K86" s="106"/>
      <c r="L86" s="132"/>
      <c r="M86" s="61"/>
      <c r="N86" s="61"/>
      <c r="O86" s="42"/>
      <c r="P86" s="73"/>
      <c r="Q86" s="389"/>
      <c r="R86" s="722"/>
      <c r="S86" s="407"/>
      <c r="U86" s="409"/>
    </row>
    <row r="87" spans="2:21" s="91" customFormat="1" ht="15" customHeight="1">
      <c r="B87" s="5" t="str">
        <f>Periode!B87</f>
        <v>Carlo Peetoom</v>
      </c>
      <c r="C87" s="5" t="str">
        <f>Periode!G87</f>
        <v>32 (4wk)</v>
      </c>
      <c r="D87" s="61">
        <v>4</v>
      </c>
      <c r="E87" s="60">
        <v>32</v>
      </c>
      <c r="F87" s="60"/>
      <c r="G87" s="235"/>
      <c r="H87" s="60"/>
      <c r="I87" s="60"/>
      <c r="J87" s="60"/>
      <c r="K87" s="106">
        <f>(Periode!BB87*E87/40)+((F87+H87+I87)*Periode!BD87/40)+(J87*Periode!BF87/40)+(G87*Periode!BE87/40)</f>
        <v>672.54</v>
      </c>
      <c r="L87" s="132">
        <v>40</v>
      </c>
      <c r="M87" s="136"/>
      <c r="N87" s="136">
        <f>(L87*D87*2)+M87</f>
        <v>320</v>
      </c>
      <c r="O87" s="561">
        <f>((L87*2*D87)+M87)*0.23</f>
        <v>73.600000000000009</v>
      </c>
      <c r="P87" s="73"/>
      <c r="Q87" s="42">
        <f>K87+O87+P87</f>
        <v>746.14</v>
      </c>
      <c r="R87" s="271" t="s">
        <v>461</v>
      </c>
      <c r="S87" s="241" t="s">
        <v>442</v>
      </c>
      <c r="U87" s="343"/>
    </row>
    <row r="88" spans="2:21" s="87" customFormat="1" ht="15" customHeight="1">
      <c r="B88" s="1149"/>
      <c r="C88" s="172">
        <f>Periode!H88</f>
        <v>0</v>
      </c>
      <c r="D88" s="61"/>
      <c r="E88" s="60"/>
      <c r="F88" s="60"/>
      <c r="G88" s="60"/>
      <c r="H88" s="60"/>
      <c r="I88" s="60"/>
      <c r="J88" s="60"/>
      <c r="K88" s="106"/>
      <c r="L88" s="132"/>
      <c r="M88" s="61"/>
      <c r="N88" s="61"/>
      <c r="O88" s="42"/>
      <c r="P88" s="73"/>
      <c r="Q88" s="389"/>
      <c r="R88" s="1177"/>
      <c r="S88" s="407"/>
      <c r="U88" s="409"/>
    </row>
    <row r="89" spans="2:21" s="87" customFormat="1" ht="15" customHeight="1">
      <c r="B89" s="1149"/>
      <c r="C89" s="172">
        <f>Periode!H89</f>
        <v>0</v>
      </c>
      <c r="D89" s="61"/>
      <c r="E89" s="60"/>
      <c r="F89" s="60"/>
      <c r="G89" s="60"/>
      <c r="H89" s="60"/>
      <c r="I89" s="60"/>
      <c r="J89" s="60"/>
      <c r="K89" s="106"/>
      <c r="L89" s="132"/>
      <c r="M89" s="61"/>
      <c r="N89" s="61"/>
      <c r="O89" s="42"/>
      <c r="P89" s="73"/>
      <c r="Q89" s="389"/>
      <c r="R89" s="1210"/>
      <c r="S89" s="407"/>
      <c r="U89" s="409"/>
    </row>
    <row r="90" spans="2:21" s="91" customFormat="1" ht="15" customHeight="1">
      <c r="B90" s="1149" t="str">
        <f>Periode!B90</f>
        <v>Aries Provence</v>
      </c>
      <c r="C90" s="5" t="str">
        <f>Periode!G90</f>
        <v>0</v>
      </c>
      <c r="D90" s="61">
        <v>4</v>
      </c>
      <c r="E90" s="60">
        <v>32</v>
      </c>
      <c r="F90" s="60"/>
      <c r="G90" s="60"/>
      <c r="H90" s="60"/>
      <c r="I90" s="60"/>
      <c r="J90" s="235"/>
      <c r="K90" s="106">
        <f>(Periode!BB90*E90/40)+((F90+H90+I90)*Periode!BD90/40)+(J90*Periode!BF90/40)+(G90*Periode!BE90/40)</f>
        <v>480.27600000000001</v>
      </c>
      <c r="L90" s="132">
        <v>85</v>
      </c>
      <c r="M90" s="136"/>
      <c r="N90" s="136">
        <f>(L90*D90*2)+M90</f>
        <v>680</v>
      </c>
      <c r="O90" s="561">
        <f>((L90*2*D90)+M90)*0.23</f>
        <v>156.4</v>
      </c>
      <c r="P90" s="73"/>
      <c r="Q90" s="43">
        <f>K90+O90+P90</f>
        <v>636.67600000000004</v>
      </c>
      <c r="R90" s="722" t="s">
        <v>462</v>
      </c>
      <c r="S90" s="241" t="s">
        <v>422</v>
      </c>
      <c r="U90" s="343"/>
    </row>
    <row r="91" spans="2:21" s="87" customFormat="1" ht="15" customHeight="1">
      <c r="B91" s="1149"/>
      <c r="C91" s="172">
        <f>Periode!H91</f>
        <v>0</v>
      </c>
      <c r="D91" s="61"/>
      <c r="E91" s="60"/>
      <c r="F91" s="60"/>
      <c r="G91" s="60"/>
      <c r="H91" s="60"/>
      <c r="I91" s="60"/>
      <c r="J91" s="60"/>
      <c r="K91" s="106"/>
      <c r="L91" s="132"/>
      <c r="M91" s="61"/>
      <c r="N91" s="61"/>
      <c r="O91" s="42"/>
      <c r="P91" s="73"/>
      <c r="Q91" s="389"/>
      <c r="R91" s="1177"/>
      <c r="S91" s="407"/>
      <c r="U91" s="409"/>
    </row>
    <row r="92" spans="2:21" s="91" customFormat="1" ht="15" customHeight="1">
      <c r="B92" s="1149" t="str">
        <f>Periode!B92</f>
        <v>Gregory de Graaf</v>
      </c>
      <c r="C92" s="5" t="str">
        <f>Periode!G92</f>
        <v>0</v>
      </c>
      <c r="D92" s="61">
        <v>5</v>
      </c>
      <c r="E92" s="60">
        <v>35</v>
      </c>
      <c r="F92" s="60"/>
      <c r="G92" s="60"/>
      <c r="H92" s="60"/>
      <c r="I92" s="60"/>
      <c r="J92" s="235"/>
      <c r="K92" s="106">
        <f>(Periode!BB92*E92/40)+((F92+H92+I92)*Periode!BD92/40)+(J92*Periode!BF92/40)+(G92*Periode!BE92/40)</f>
        <v>645.75</v>
      </c>
      <c r="L92" s="132"/>
      <c r="M92" s="136"/>
      <c r="N92" s="136"/>
      <c r="O92" s="42"/>
      <c r="P92" s="73"/>
      <c r="Q92" s="949">
        <f>K92+O92+P92</f>
        <v>645.75</v>
      </c>
      <c r="R92" s="722" t="s">
        <v>254</v>
      </c>
      <c r="S92" s="241" t="s">
        <v>431</v>
      </c>
      <c r="U92" s="343"/>
    </row>
    <row r="93" spans="2:21" s="87" customFormat="1" ht="15" customHeight="1">
      <c r="B93" s="1149"/>
      <c r="C93" s="172">
        <f>Periode!H93</f>
        <v>0</v>
      </c>
      <c r="D93" s="61"/>
      <c r="E93" s="60"/>
      <c r="F93" s="60"/>
      <c r="G93" s="60"/>
      <c r="H93" s="60"/>
      <c r="I93" s="60"/>
      <c r="J93" s="60"/>
      <c r="K93" s="106"/>
      <c r="L93" s="132"/>
      <c r="M93" s="61"/>
      <c r="N93" s="61"/>
      <c r="O93" s="42"/>
      <c r="P93" s="73"/>
      <c r="Q93" s="389"/>
      <c r="R93" s="722" t="s">
        <v>466</v>
      </c>
      <c r="S93" s="407"/>
      <c r="U93" s="409"/>
    </row>
    <row r="94" spans="2:21" s="87" customFormat="1" ht="15" customHeight="1">
      <c r="B94" s="1149"/>
      <c r="C94" s="172">
        <f>Periode!H94</f>
        <v>0</v>
      </c>
      <c r="D94" s="61"/>
      <c r="E94" s="60"/>
      <c r="F94" s="60"/>
      <c r="G94" s="60"/>
      <c r="H94" s="60"/>
      <c r="I94" s="60"/>
      <c r="J94" s="60"/>
      <c r="K94" s="106"/>
      <c r="L94" s="132"/>
      <c r="M94" s="61"/>
      <c r="N94" s="61"/>
      <c r="O94" s="42"/>
      <c r="P94" s="73"/>
      <c r="Q94" s="389"/>
      <c r="R94" s="722"/>
      <c r="S94" s="407"/>
      <c r="U94" s="409"/>
    </row>
    <row r="95" spans="2:21" s="91" customFormat="1" ht="15" customHeight="1">
      <c r="B95" s="1149"/>
      <c r="C95" s="5"/>
      <c r="D95" s="61"/>
      <c r="E95" s="60"/>
      <c r="F95" s="60"/>
      <c r="G95" s="235"/>
      <c r="H95" s="235"/>
      <c r="I95" s="235"/>
      <c r="J95" s="60"/>
      <c r="K95" s="106"/>
      <c r="L95" s="132"/>
      <c r="M95" s="136"/>
      <c r="N95" s="136"/>
      <c r="O95" s="42"/>
      <c r="P95" s="73"/>
      <c r="Q95" s="43"/>
      <c r="R95" s="1177"/>
      <c r="S95" s="241"/>
      <c r="U95" s="343"/>
    </row>
    <row r="96" spans="2:21" s="87" customFormat="1" ht="15" customHeight="1">
      <c r="B96" s="1149"/>
      <c r="C96" s="172">
        <f>Periode!H96</f>
        <v>0</v>
      </c>
      <c r="D96" s="61"/>
      <c r="E96" s="60"/>
      <c r="F96" s="60"/>
      <c r="G96" s="60"/>
      <c r="H96" s="60"/>
      <c r="I96" s="60"/>
      <c r="J96" s="60"/>
      <c r="K96" s="106"/>
      <c r="L96" s="132"/>
      <c r="M96" s="61"/>
      <c r="N96" s="61"/>
      <c r="O96" s="42"/>
      <c r="P96" s="73"/>
      <c r="Q96" s="1199"/>
      <c r="R96" s="722"/>
      <c r="S96" s="407"/>
      <c r="U96" s="409"/>
    </row>
    <row r="97" spans="2:21" s="87" customFormat="1" ht="15" customHeight="1">
      <c r="B97" s="1149"/>
      <c r="C97" s="172">
        <f>Periode!H97</f>
        <v>0</v>
      </c>
      <c r="D97" s="61"/>
      <c r="E97" s="60"/>
      <c r="F97" s="60"/>
      <c r="G97" s="60"/>
      <c r="H97" s="60"/>
      <c r="I97" s="60"/>
      <c r="J97" s="60"/>
      <c r="K97" s="106"/>
      <c r="L97" s="132"/>
      <c r="M97" s="61"/>
      <c r="N97" s="61"/>
      <c r="O97" s="42"/>
      <c r="P97" s="73"/>
      <c r="Q97" s="1200"/>
      <c r="R97" s="722"/>
      <c r="S97" s="407"/>
      <c r="U97" s="409"/>
    </row>
    <row r="98" spans="2:21" s="91" customFormat="1" ht="15" customHeight="1">
      <c r="B98" s="1149"/>
      <c r="C98" s="5"/>
      <c r="D98" s="136"/>
      <c r="E98" s="235"/>
      <c r="F98" s="235"/>
      <c r="G98" s="235"/>
      <c r="H98" s="235"/>
      <c r="I98" s="235"/>
      <c r="J98" s="235"/>
      <c r="K98" s="106"/>
      <c r="L98" s="243"/>
      <c r="M98" s="136"/>
      <c r="N98" s="136"/>
      <c r="O98" s="245"/>
      <c r="P98" s="42"/>
      <c r="Q98" s="43"/>
      <c r="R98" s="1211"/>
      <c r="S98" s="277"/>
      <c r="U98" s="343"/>
    </row>
    <row r="99" spans="2:21" s="91" customFormat="1" ht="15" customHeight="1">
      <c r="B99" s="1149" t="str">
        <f>Periode!B99</f>
        <v>Eric de Jong</v>
      </c>
      <c r="C99" s="5" t="str">
        <f>Periode!G99</f>
        <v>0</v>
      </c>
      <c r="D99" s="61">
        <v>5</v>
      </c>
      <c r="E99" s="60">
        <v>40</v>
      </c>
      <c r="F99" s="60"/>
      <c r="G99" s="235"/>
      <c r="H99" s="60"/>
      <c r="I99" s="235"/>
      <c r="J99" s="60"/>
      <c r="K99" s="106">
        <f>(Periode!BB99*E99/40)+((F99+H99+I99)*Periode!BD99/40)+(J99*Periode!BF99/40)+(G99*Periode!BE99/40)</f>
        <v>928.00999999999988</v>
      </c>
      <c r="L99" s="132">
        <v>47</v>
      </c>
      <c r="M99" s="136"/>
      <c r="N99" s="136">
        <f>(L99*D99*2)+M99</f>
        <v>470</v>
      </c>
      <c r="O99" s="561">
        <f>((L99*2*D99)+M99)*0.23</f>
        <v>108.10000000000001</v>
      </c>
      <c r="P99" s="73"/>
      <c r="Q99" s="43">
        <f>K99+O99+P99</f>
        <v>1036.1099999999999</v>
      </c>
      <c r="R99" s="722"/>
      <c r="S99" s="241" t="s">
        <v>409</v>
      </c>
      <c r="U99" s="343"/>
    </row>
    <row r="100" spans="2:21" s="87" customFormat="1" ht="15" customHeight="1">
      <c r="B100" s="1149"/>
      <c r="C100" s="172"/>
      <c r="D100" s="61"/>
      <c r="E100" s="60"/>
      <c r="F100" s="60"/>
      <c r="G100" s="60"/>
      <c r="H100" s="60"/>
      <c r="I100" s="60"/>
      <c r="J100" s="60"/>
      <c r="K100" s="106"/>
      <c r="L100" s="132"/>
      <c r="M100" s="61"/>
      <c r="N100" s="61"/>
      <c r="O100" s="42"/>
      <c r="P100" s="73"/>
      <c r="Q100" s="389"/>
      <c r="R100" s="832"/>
      <c r="S100" s="676"/>
      <c r="U100" s="855"/>
    </row>
    <row r="101" spans="2:21" s="91" customFormat="1" ht="15" customHeight="1">
      <c r="B101" s="1149"/>
      <c r="C101" s="5"/>
      <c r="D101" s="61"/>
      <c r="E101" s="60"/>
      <c r="F101" s="60"/>
      <c r="G101" s="235"/>
      <c r="H101" s="235"/>
      <c r="I101" s="235"/>
      <c r="J101" s="60"/>
      <c r="K101" s="106"/>
      <c r="L101" s="132"/>
      <c r="M101" s="136"/>
      <c r="N101" s="136"/>
      <c r="O101" s="42"/>
      <c r="P101" s="73"/>
      <c r="Q101" s="43"/>
      <c r="R101" s="832"/>
      <c r="S101" s="241"/>
      <c r="U101" s="343"/>
    </row>
    <row r="102" spans="2:21" s="87" customFormat="1" ht="15" customHeight="1">
      <c r="B102" s="1149"/>
      <c r="C102" s="172"/>
      <c r="D102" s="61"/>
      <c r="E102" s="60"/>
      <c r="F102" s="60"/>
      <c r="G102" s="60"/>
      <c r="H102" s="60"/>
      <c r="I102" s="60"/>
      <c r="J102" s="60"/>
      <c r="K102" s="106"/>
      <c r="L102" s="132"/>
      <c r="M102" s="61"/>
      <c r="N102" s="61"/>
      <c r="O102" s="42"/>
      <c r="P102" s="73"/>
      <c r="Q102" s="389"/>
      <c r="R102" s="1212"/>
      <c r="S102" s="407"/>
      <c r="U102" s="409"/>
    </row>
    <row r="103" spans="2:21" s="87" customFormat="1" ht="15" customHeight="1">
      <c r="B103" s="1149"/>
      <c r="C103" s="172">
        <f>Periode!H103</f>
        <v>0</v>
      </c>
      <c r="D103" s="61"/>
      <c r="E103" s="60"/>
      <c r="F103" s="60"/>
      <c r="G103" s="60"/>
      <c r="H103" s="60"/>
      <c r="I103" s="60"/>
      <c r="J103" s="60"/>
      <c r="K103" s="106"/>
      <c r="L103" s="132"/>
      <c r="M103" s="61"/>
      <c r="N103" s="61"/>
      <c r="O103" s="42"/>
      <c r="P103" s="73"/>
      <c r="Q103" s="389"/>
      <c r="R103" s="722"/>
      <c r="S103" s="407"/>
      <c r="U103" s="409"/>
    </row>
    <row r="104" spans="2:21" s="91" customFormat="1" ht="15" customHeight="1">
      <c r="B104" s="1149" t="str">
        <f>Periode!B104</f>
        <v>Michel van der Mark</v>
      </c>
      <c r="C104" s="5" t="str">
        <f>Periode!G104</f>
        <v>32 (4wk)</v>
      </c>
      <c r="D104" s="61"/>
      <c r="E104" s="60"/>
      <c r="F104" s="60"/>
      <c r="G104" s="60">
        <f>(4*8)*0.9</f>
        <v>28.8</v>
      </c>
      <c r="H104" s="60"/>
      <c r="I104" s="235"/>
      <c r="J104" s="60"/>
      <c r="K104" s="106">
        <f>(Periode!BB104*E104/40)+((F104+H104+I104)*Periode!BD104/40)+(J104*Periode!BF104/40)+(G104*Periode!BE104/40)</f>
        <v>491.17622399999993</v>
      </c>
      <c r="L104" s="132"/>
      <c r="M104" s="136"/>
      <c r="N104" s="136"/>
      <c r="O104" s="42"/>
      <c r="P104" s="73"/>
      <c r="Q104" s="43">
        <f>K104+O104+P104</f>
        <v>491.17622399999993</v>
      </c>
      <c r="R104" s="722" t="s">
        <v>473</v>
      </c>
      <c r="S104" s="241" t="s">
        <v>209</v>
      </c>
      <c r="U104" s="343"/>
    </row>
    <row r="105" spans="2:21" s="87" customFormat="1" ht="15" customHeight="1">
      <c r="B105" s="1149"/>
      <c r="C105" s="172">
        <f>Periode!H105</f>
        <v>0</v>
      </c>
      <c r="D105" s="61"/>
      <c r="E105" s="60"/>
      <c r="F105" s="60"/>
      <c r="G105" s="60"/>
      <c r="H105" s="60"/>
      <c r="I105" s="60"/>
      <c r="J105" s="60"/>
      <c r="K105" s="106"/>
      <c r="L105" s="132"/>
      <c r="M105" s="61"/>
      <c r="N105" s="61"/>
      <c r="O105" s="42"/>
      <c r="P105" s="73"/>
      <c r="Q105" s="389"/>
      <c r="R105" s="1177" t="s">
        <v>474</v>
      </c>
      <c r="S105" s="407"/>
      <c r="U105" s="409"/>
    </row>
    <row r="106" spans="2:21" s="87" customFormat="1" ht="15" customHeight="1">
      <c r="B106" s="1149"/>
      <c r="C106" s="172">
        <f>Periode!H106</f>
        <v>0</v>
      </c>
      <c r="D106" s="61"/>
      <c r="E106" s="60"/>
      <c r="F106" s="60"/>
      <c r="G106" s="60"/>
      <c r="H106" s="60"/>
      <c r="I106" s="60"/>
      <c r="J106" s="60"/>
      <c r="K106" s="106"/>
      <c r="L106" s="132"/>
      <c r="M106" s="61"/>
      <c r="N106" s="61"/>
      <c r="O106" s="42"/>
      <c r="P106" s="73"/>
      <c r="Q106" s="389"/>
      <c r="R106" s="722"/>
      <c r="S106" s="407"/>
      <c r="U106" s="409"/>
    </row>
    <row r="107" spans="2:21" s="91" customFormat="1" ht="15" customHeight="1">
      <c r="B107" s="1149"/>
      <c r="C107" s="5"/>
      <c r="D107" s="61"/>
      <c r="E107" s="60"/>
      <c r="F107" s="60"/>
      <c r="G107" s="60"/>
      <c r="H107" s="60"/>
      <c r="I107" s="60"/>
      <c r="J107" s="60"/>
      <c r="K107" s="106"/>
      <c r="L107" s="132"/>
      <c r="M107" s="136"/>
      <c r="N107" s="136"/>
      <c r="O107" s="42"/>
      <c r="P107" s="73"/>
      <c r="Q107" s="43"/>
      <c r="R107" s="722"/>
      <c r="S107" s="241"/>
      <c r="U107" s="343"/>
    </row>
    <row r="108" spans="2:21" s="87" customFormat="1" ht="15" customHeight="1">
      <c r="B108" s="1149"/>
      <c r="C108" s="172">
        <f>Periode!H108</f>
        <v>0</v>
      </c>
      <c r="D108" s="61"/>
      <c r="E108" s="60"/>
      <c r="F108" s="60"/>
      <c r="G108" s="60"/>
      <c r="H108" s="60"/>
      <c r="I108" s="60"/>
      <c r="J108" s="60"/>
      <c r="K108" s="106"/>
      <c r="L108" s="132"/>
      <c r="M108" s="61"/>
      <c r="N108" s="61"/>
      <c r="O108" s="42"/>
      <c r="P108" s="73"/>
      <c r="Q108" s="389"/>
      <c r="R108" s="1213"/>
      <c r="S108" s="407"/>
      <c r="U108" s="409"/>
    </row>
    <row r="109" spans="2:21" s="87" customFormat="1" ht="15" customHeight="1">
      <c r="B109" s="1149"/>
      <c r="C109" s="172">
        <f>Periode!H109</f>
        <v>0</v>
      </c>
      <c r="D109" s="61"/>
      <c r="E109" s="60"/>
      <c r="F109" s="60"/>
      <c r="G109" s="60"/>
      <c r="H109" s="60"/>
      <c r="I109" s="60"/>
      <c r="J109" s="60"/>
      <c r="K109" s="106"/>
      <c r="L109" s="132"/>
      <c r="M109" s="61"/>
      <c r="N109" s="61"/>
      <c r="O109" s="42"/>
      <c r="P109" s="73"/>
      <c r="Q109" s="389"/>
      <c r="R109" s="1210"/>
      <c r="S109" s="407"/>
      <c r="U109" s="409"/>
    </row>
    <row r="110" spans="2:21" s="91" customFormat="1" ht="15" customHeight="1">
      <c r="B110" s="1149" t="str">
        <f>Periode!B110</f>
        <v>Jan Harteveld</v>
      </c>
      <c r="C110" s="5" t="str">
        <f>Periode!G110</f>
        <v>150 (4wk)</v>
      </c>
      <c r="D110" s="61">
        <v>5</v>
      </c>
      <c r="E110" s="60">
        <v>35</v>
      </c>
      <c r="F110" s="60">
        <v>2.5</v>
      </c>
      <c r="G110" s="60"/>
      <c r="H110" s="235"/>
      <c r="I110" s="235"/>
      <c r="J110" s="60"/>
      <c r="K110" s="106">
        <f>(Periode!BB110*E110/40)+((F110+H110+I110)*Periode!BD110/40)+(J110*Periode!BF110/40)+(G110*Periode!BE110/40)</f>
        <v>742.57059374999983</v>
      </c>
      <c r="L110" s="132">
        <v>14</v>
      </c>
      <c r="M110" s="136"/>
      <c r="N110" s="136">
        <f>(L110*D110*2)+M110</f>
        <v>140</v>
      </c>
      <c r="O110" s="561">
        <f>((L110*2*D110)+M110)*0.23</f>
        <v>32.200000000000003</v>
      </c>
      <c r="P110" s="73"/>
      <c r="Q110" s="43">
        <f>K110+O110+P110</f>
        <v>774.77059374999988</v>
      </c>
      <c r="R110" s="722" t="s">
        <v>475</v>
      </c>
      <c r="S110" s="241" t="s">
        <v>404</v>
      </c>
      <c r="U110" s="343"/>
    </row>
    <row r="111" spans="2:21" s="87" customFormat="1" ht="15" customHeight="1">
      <c r="B111" s="1149"/>
      <c r="C111" s="172">
        <f>Periode!H111</f>
        <v>0</v>
      </c>
      <c r="D111" s="61"/>
      <c r="E111" s="60"/>
      <c r="F111" s="60"/>
      <c r="G111" s="60"/>
      <c r="H111" s="60"/>
      <c r="I111" s="60"/>
      <c r="J111" s="60"/>
      <c r="K111" s="106"/>
      <c r="L111" s="132"/>
      <c r="M111" s="61"/>
      <c r="N111" s="61"/>
      <c r="O111" s="42"/>
      <c r="P111" s="73"/>
      <c r="Q111" s="389"/>
      <c r="R111" s="722"/>
      <c r="S111" s="407"/>
      <c r="U111" s="409"/>
    </row>
    <row r="112" spans="2:21" s="87" customFormat="1" ht="15" customHeight="1">
      <c r="B112" s="1149"/>
      <c r="C112" s="172">
        <f>Periode!H112</f>
        <v>0</v>
      </c>
      <c r="D112" s="61"/>
      <c r="E112" s="60"/>
      <c r="F112" s="60"/>
      <c r="G112" s="60"/>
      <c r="H112" s="60"/>
      <c r="I112" s="60"/>
      <c r="J112" s="60"/>
      <c r="K112" s="106"/>
      <c r="L112" s="132"/>
      <c r="M112" s="61"/>
      <c r="N112" s="61"/>
      <c r="O112" s="42"/>
      <c r="P112" s="73"/>
      <c r="Q112" s="389"/>
      <c r="R112" s="722"/>
      <c r="S112" s="407"/>
      <c r="U112" s="409"/>
    </row>
    <row r="113" spans="2:21" s="91" customFormat="1" ht="15" customHeight="1">
      <c r="B113" s="1149"/>
      <c r="C113" s="5"/>
      <c r="D113" s="61"/>
      <c r="E113" s="60"/>
      <c r="F113" s="60"/>
      <c r="G113" s="235"/>
      <c r="H113" s="235"/>
      <c r="I113" s="235"/>
      <c r="J113" s="60"/>
      <c r="K113" s="106"/>
      <c r="L113" s="132"/>
      <c r="M113" s="136"/>
      <c r="N113" s="136"/>
      <c r="O113" s="42"/>
      <c r="P113" s="73"/>
      <c r="Q113" s="43"/>
      <c r="R113" s="722"/>
      <c r="S113" s="241"/>
      <c r="U113" s="343"/>
    </row>
    <row r="114" spans="2:21" s="87" customFormat="1" ht="15" customHeight="1">
      <c r="B114" s="1149"/>
      <c r="C114" s="172">
        <f>Periode!H114</f>
        <v>0</v>
      </c>
      <c r="D114" s="61"/>
      <c r="E114" s="60"/>
      <c r="F114" s="60"/>
      <c r="G114" s="60"/>
      <c r="H114" s="60"/>
      <c r="I114" s="60"/>
      <c r="J114" s="60"/>
      <c r="K114" s="106"/>
      <c r="L114" s="132"/>
      <c r="M114" s="61"/>
      <c r="N114" s="61"/>
      <c r="O114" s="42"/>
      <c r="P114" s="73"/>
      <c r="Q114" s="389"/>
      <c r="R114" s="722"/>
      <c r="S114" s="407"/>
      <c r="U114" s="409"/>
    </row>
    <row r="115" spans="2:21" s="87" customFormat="1" ht="15" customHeight="1">
      <c r="B115" s="1149"/>
      <c r="C115" s="172">
        <f>Periode!H115</f>
        <v>0</v>
      </c>
      <c r="D115" s="61"/>
      <c r="E115" s="60"/>
      <c r="F115" s="60"/>
      <c r="G115" s="60"/>
      <c r="H115" s="60"/>
      <c r="I115" s="60"/>
      <c r="J115" s="60"/>
      <c r="K115" s="106"/>
      <c r="L115" s="132"/>
      <c r="M115" s="61"/>
      <c r="N115" s="61"/>
      <c r="O115" s="42"/>
      <c r="P115" s="73"/>
      <c r="Q115" s="389"/>
      <c r="R115" s="722"/>
      <c r="S115" s="407"/>
      <c r="U115" s="409"/>
    </row>
    <row r="116" spans="2:21" s="91" customFormat="1" ht="15" customHeight="1">
      <c r="B116" s="1149" t="str">
        <f>Periode!B116</f>
        <v>Asanty Raafenberg</v>
      </c>
      <c r="C116" s="5" t="str">
        <f>Periode!G116</f>
        <v>0</v>
      </c>
      <c r="D116" s="61">
        <v>5</v>
      </c>
      <c r="E116" s="60">
        <v>40</v>
      </c>
      <c r="F116" s="60"/>
      <c r="G116" s="60"/>
      <c r="H116" s="60"/>
      <c r="I116" s="60"/>
      <c r="J116" s="60"/>
      <c r="K116" s="106">
        <f>(Periode!BB116*E116/40)+((F116+H116+I116)*Periode!BD116/40)+(J116*Periode!BF116/40)+(G116*Periode!BE116/40)</f>
        <v>660.28</v>
      </c>
      <c r="L116" s="132"/>
      <c r="M116" s="136"/>
      <c r="N116" s="136"/>
      <c r="O116" s="42"/>
      <c r="P116" s="73"/>
      <c r="Q116" s="389">
        <f>K116+O116+P116</f>
        <v>660.28</v>
      </c>
      <c r="R116" s="722" t="s">
        <v>254</v>
      </c>
      <c r="S116" s="241" t="s">
        <v>225</v>
      </c>
      <c r="U116" s="343"/>
    </row>
    <row r="117" spans="2:21" s="91" customFormat="1" ht="15" customHeight="1">
      <c r="B117" s="1149"/>
      <c r="C117" s="242"/>
      <c r="D117" s="243"/>
      <c r="E117" s="406"/>
      <c r="F117" s="406"/>
      <c r="G117" s="406"/>
      <c r="H117" s="406"/>
      <c r="I117" s="406"/>
      <c r="J117" s="406"/>
      <c r="K117" s="244"/>
      <c r="L117" s="243">
        <v>16</v>
      </c>
      <c r="M117" s="243"/>
      <c r="N117" s="243"/>
      <c r="O117" s="245"/>
      <c r="P117" s="245"/>
      <c r="Q117" s="395"/>
      <c r="R117" s="722"/>
      <c r="S117" s="241"/>
      <c r="U117" s="343"/>
    </row>
    <row r="118" spans="2:21" s="87" customFormat="1" ht="15" customHeight="1">
      <c r="B118" s="1149"/>
      <c r="C118" s="172">
        <f>Periode!H118</f>
        <v>0</v>
      </c>
      <c r="D118" s="61"/>
      <c r="E118" s="60"/>
      <c r="F118" s="60"/>
      <c r="G118" s="60"/>
      <c r="H118" s="60"/>
      <c r="I118" s="60"/>
      <c r="J118" s="60"/>
      <c r="K118" s="106"/>
      <c r="L118" s="132"/>
      <c r="M118" s="61"/>
      <c r="N118" s="61"/>
      <c r="O118" s="42"/>
      <c r="P118" s="73"/>
      <c r="Q118" s="389"/>
      <c r="R118" s="722"/>
      <c r="S118" s="407"/>
      <c r="U118" s="409"/>
    </row>
    <row r="119" spans="2:21" s="91" customFormat="1" ht="15" customHeight="1">
      <c r="B119" s="1149" t="str">
        <f>Periode!B119</f>
        <v>Patrick Serlier</v>
      </c>
      <c r="C119" s="5" t="str">
        <f>Periode!G119</f>
        <v>32 (4wk)</v>
      </c>
      <c r="D119" s="61">
        <v>5</v>
      </c>
      <c r="E119" s="60">
        <v>40</v>
      </c>
      <c r="F119" s="60"/>
      <c r="G119" s="235"/>
      <c r="H119" s="60"/>
      <c r="I119" s="235"/>
      <c r="J119" s="60"/>
      <c r="K119" s="106">
        <f>(Periode!BB119*E119/40)+((F119+H119+I119)*Periode!BD119/40)+(J119*Periode!BF119/40)+(G119*Periode!BE119/40)</f>
        <v>675.47</v>
      </c>
      <c r="L119" s="132"/>
      <c r="M119" s="136"/>
      <c r="N119" s="136"/>
      <c r="O119" s="42"/>
      <c r="P119" s="73"/>
      <c r="Q119" s="43">
        <f>K119+O119+P119</f>
        <v>675.47</v>
      </c>
      <c r="R119" s="1177"/>
      <c r="S119" s="241" t="s">
        <v>231</v>
      </c>
      <c r="U119" s="343"/>
    </row>
    <row r="120" spans="2:21" s="87" customFormat="1" ht="15" customHeight="1">
      <c r="B120" s="1149"/>
      <c r="C120" s="172">
        <f>Periode!H120</f>
        <v>0</v>
      </c>
      <c r="D120" s="61"/>
      <c r="E120" s="60"/>
      <c r="F120" s="60"/>
      <c r="G120" s="60"/>
      <c r="H120" s="60"/>
      <c r="I120" s="60"/>
      <c r="J120" s="60"/>
      <c r="K120" s="106"/>
      <c r="L120" s="132"/>
      <c r="M120" s="61"/>
      <c r="N120" s="61"/>
      <c r="O120" s="42"/>
      <c r="P120" s="73"/>
      <c r="Q120" s="389"/>
      <c r="R120" s="1210"/>
      <c r="S120" s="407"/>
      <c r="U120" s="409"/>
    </row>
    <row r="121" spans="2:21" s="87" customFormat="1" ht="15" customHeight="1">
      <c r="B121" s="1149"/>
      <c r="C121" s="172">
        <f>Periode!H121</f>
        <v>0</v>
      </c>
      <c r="D121" s="61"/>
      <c r="E121" s="60"/>
      <c r="F121" s="60"/>
      <c r="G121" s="60"/>
      <c r="H121" s="60"/>
      <c r="I121" s="60"/>
      <c r="J121" s="60"/>
      <c r="K121" s="106"/>
      <c r="L121" s="132"/>
      <c r="M121" s="61"/>
      <c r="N121" s="61"/>
      <c r="O121" s="42"/>
      <c r="P121" s="73"/>
      <c r="Q121" s="389"/>
      <c r="R121" s="722"/>
      <c r="S121" s="407"/>
      <c r="U121" s="409"/>
    </row>
    <row r="122" spans="2:21" s="87" customFormat="1" ht="15" customHeight="1">
      <c r="B122" s="1149"/>
      <c r="C122" s="172">
        <f>Periode!H122</f>
        <v>0</v>
      </c>
      <c r="D122" s="61"/>
      <c r="E122" s="60"/>
      <c r="F122" s="60"/>
      <c r="G122" s="60"/>
      <c r="H122" s="60"/>
      <c r="I122" s="60"/>
      <c r="J122" s="60"/>
      <c r="K122" s="106"/>
      <c r="L122" s="132"/>
      <c r="M122" s="61"/>
      <c r="N122" s="61"/>
      <c r="O122" s="42"/>
      <c r="P122" s="73"/>
      <c r="Q122" s="389"/>
      <c r="R122" s="722"/>
      <c r="S122" s="407"/>
      <c r="U122" s="409"/>
    </row>
    <row r="123" spans="2:21" s="91" customFormat="1" ht="15" customHeight="1">
      <c r="B123" s="1149" t="str">
        <f>Periode!B123</f>
        <v>Pieter van Houwelingen</v>
      </c>
      <c r="C123" s="5" t="str">
        <f>Periode!G123</f>
        <v>32 (4wk)</v>
      </c>
      <c r="D123" s="61">
        <v>5</v>
      </c>
      <c r="E123" s="60">
        <v>38</v>
      </c>
      <c r="F123" s="60"/>
      <c r="G123" s="235"/>
      <c r="H123" s="235"/>
      <c r="I123" s="235"/>
      <c r="J123" s="60"/>
      <c r="K123" s="106">
        <f>(Periode!BB123*E123/40)+((F123+H123+I123)*Periode!BD123/40)+(J123*Periode!BF123/40)+(G123*Periode!BE123/40)</f>
        <v>998.29325000000006</v>
      </c>
      <c r="L123" s="704">
        <v>32.5</v>
      </c>
      <c r="M123" s="136"/>
      <c r="N123" s="136">
        <f>(L123*D123*2)+M123</f>
        <v>325</v>
      </c>
      <c r="O123" s="561">
        <f>((L123*2*D123)+M123)*0.23</f>
        <v>74.75</v>
      </c>
      <c r="P123" s="73"/>
      <c r="Q123" s="43">
        <f>K123+O123+P123</f>
        <v>1073.0432500000002</v>
      </c>
      <c r="R123" s="722" t="s">
        <v>459</v>
      </c>
      <c r="S123" s="241" t="s">
        <v>197</v>
      </c>
      <c r="U123" s="343"/>
    </row>
    <row r="124" spans="2:21" s="87" customFormat="1" ht="15" customHeight="1">
      <c r="B124" s="1149"/>
      <c r="C124" s="172">
        <f>Periode!H124</f>
        <v>0</v>
      </c>
      <c r="D124" s="61"/>
      <c r="E124" s="60"/>
      <c r="F124" s="60"/>
      <c r="G124" s="60"/>
      <c r="H124" s="60"/>
      <c r="I124" s="60"/>
      <c r="J124" s="60"/>
      <c r="K124" s="106"/>
      <c r="L124" s="132"/>
      <c r="M124" s="61"/>
      <c r="N124" s="61"/>
      <c r="O124" s="42"/>
      <c r="P124" s="73"/>
      <c r="Q124" s="389"/>
      <c r="R124" s="722"/>
      <c r="S124" s="407"/>
      <c r="U124" s="409"/>
    </row>
    <row r="125" spans="2:21" s="91" customFormat="1" ht="15" customHeight="1">
      <c r="B125" s="1149" t="str">
        <f>Periode!B125</f>
        <v>John van der Wel</v>
      </c>
      <c r="C125" s="5">
        <f>Periode!G125</f>
        <v>0</v>
      </c>
      <c r="D125" s="61">
        <v>4</v>
      </c>
      <c r="E125" s="60">
        <v>32</v>
      </c>
      <c r="F125" s="60"/>
      <c r="G125" s="235"/>
      <c r="H125" s="235"/>
      <c r="I125" s="235"/>
      <c r="J125" s="60"/>
      <c r="K125" s="106">
        <f>(Periode!BB125*E125/40)+((F125+H125+I125)*Periode!BD125/40)+(J125*Periode!BF125/40)+(G125*Periode!BE125/40)</f>
        <v>516.78399999999999</v>
      </c>
      <c r="L125" s="704"/>
      <c r="M125" s="136"/>
      <c r="N125" s="136"/>
      <c r="O125" s="42"/>
      <c r="P125" s="73">
        <v>-65.06</v>
      </c>
      <c r="Q125" s="43">
        <f>K125+O125+P125</f>
        <v>451.72399999999999</v>
      </c>
      <c r="R125" s="722" t="s">
        <v>461</v>
      </c>
      <c r="S125" s="241" t="s">
        <v>451</v>
      </c>
      <c r="U125" s="343"/>
    </row>
    <row r="126" spans="2:21" s="91" customFormat="1" ht="15" customHeight="1">
      <c r="B126" s="1149"/>
      <c r="C126" s="5"/>
      <c r="D126" s="61"/>
      <c r="E126" s="60"/>
      <c r="F126" s="60"/>
      <c r="G126" s="60"/>
      <c r="H126" s="235"/>
      <c r="I126" s="235"/>
      <c r="J126" s="60"/>
      <c r="K126" s="106"/>
      <c r="L126" s="132"/>
      <c r="M126" s="136"/>
      <c r="N126" s="136"/>
      <c r="O126" s="42"/>
      <c r="P126" s="73"/>
      <c r="Q126" s="43"/>
      <c r="R126" s="722" t="s">
        <v>476</v>
      </c>
      <c r="S126" s="241"/>
      <c r="U126" s="343"/>
    </row>
    <row r="127" spans="2:21" s="87" customFormat="1" ht="15" customHeight="1">
      <c r="B127" s="1149"/>
      <c r="C127" s="172">
        <f>Periode!H127</f>
        <v>0</v>
      </c>
      <c r="D127" s="61"/>
      <c r="E127" s="60"/>
      <c r="F127" s="60"/>
      <c r="G127" s="60"/>
      <c r="H127" s="60"/>
      <c r="I127" s="60"/>
      <c r="J127" s="60"/>
      <c r="K127" s="106"/>
      <c r="L127" s="132"/>
      <c r="M127" s="61"/>
      <c r="N127" s="61"/>
      <c r="O127" s="42"/>
      <c r="P127" s="73"/>
      <c r="Q127" s="389"/>
      <c r="R127" s="1177"/>
      <c r="S127" s="407"/>
      <c r="U127" s="409"/>
    </row>
    <row r="128" spans="2:21" s="87" customFormat="1" ht="15" customHeight="1">
      <c r="B128" s="1149"/>
      <c r="C128" s="172">
        <f>Periode!H128</f>
        <v>0</v>
      </c>
      <c r="D128" s="61"/>
      <c r="E128" s="60"/>
      <c r="F128" s="60"/>
      <c r="G128" s="60"/>
      <c r="H128" s="60"/>
      <c r="I128" s="60"/>
      <c r="J128" s="60"/>
      <c r="K128" s="106"/>
      <c r="L128" s="132"/>
      <c r="M128" s="61"/>
      <c r="N128" s="61"/>
      <c r="O128" s="42"/>
      <c r="P128" s="73"/>
      <c r="Q128" s="389"/>
      <c r="R128" s="722"/>
      <c r="S128" s="407"/>
      <c r="U128" s="409"/>
    </row>
    <row r="129" spans="2:26" s="91" customFormat="1" ht="15" customHeight="1">
      <c r="B129" s="1149" t="str">
        <f>Periode!B129</f>
        <v>Marcel Spruijt</v>
      </c>
      <c r="C129" s="5" t="str">
        <f>Periode!G129</f>
        <v>32 (4wk)</v>
      </c>
      <c r="D129" s="61">
        <v>5</v>
      </c>
      <c r="E129" s="60">
        <v>40</v>
      </c>
      <c r="F129" s="60"/>
      <c r="G129" s="235"/>
      <c r="H129" s="235"/>
      <c r="I129" s="235"/>
      <c r="J129" s="60"/>
      <c r="K129" s="106">
        <f>(Periode!BB129*E129/40)+((F129+H129+I129)*Periode!BD129/40)+(J129*Periode!BF129/40)+(G129*Periode!BE129/40)</f>
        <v>751.94</v>
      </c>
      <c r="L129" s="132"/>
      <c r="M129" s="136"/>
      <c r="N129" s="136"/>
      <c r="O129" s="42"/>
      <c r="P129" s="73"/>
      <c r="Q129" s="43">
        <f>K129+O129+P129</f>
        <v>751.94</v>
      </c>
      <c r="R129" s="722"/>
      <c r="S129" s="241" t="s">
        <v>187</v>
      </c>
      <c r="U129" s="343"/>
    </row>
    <row r="130" spans="2:26" s="87" customFormat="1" ht="15" customHeight="1">
      <c r="B130" s="1149"/>
      <c r="C130" s="172">
        <f>Periode!H130</f>
        <v>0</v>
      </c>
      <c r="D130" s="61"/>
      <c r="E130" s="60"/>
      <c r="F130" s="60"/>
      <c r="G130" s="60"/>
      <c r="H130" s="60"/>
      <c r="I130" s="60"/>
      <c r="J130" s="60"/>
      <c r="K130" s="106"/>
      <c r="L130" s="133"/>
      <c r="M130" s="61"/>
      <c r="N130" s="61"/>
      <c r="O130" s="659"/>
      <c r="P130" s="73"/>
      <c r="Q130" s="389"/>
      <c r="R130" s="722"/>
      <c r="S130" s="407"/>
      <c r="T130" s="1"/>
      <c r="U130" s="411"/>
      <c r="V130" s="1"/>
      <c r="W130" s="1"/>
      <c r="X130" s="1"/>
      <c r="Y130" s="1"/>
      <c r="Z130" s="1"/>
    </row>
    <row r="131" spans="2:26" s="91" customFormat="1" ht="15" customHeight="1">
      <c r="B131" s="1149" t="str">
        <f>Periode!B131</f>
        <v>Michael Windhorst</v>
      </c>
      <c r="C131" s="5" t="str">
        <f>Periode!G131</f>
        <v>0</v>
      </c>
      <c r="D131" s="61">
        <v>5</v>
      </c>
      <c r="E131" s="60">
        <v>36</v>
      </c>
      <c r="F131" s="60"/>
      <c r="G131" s="235"/>
      <c r="H131" s="235"/>
      <c r="I131" s="235"/>
      <c r="J131" s="60"/>
      <c r="K131" s="106">
        <f>(Periode!BB131*E131/40)+((F131+H131+I131)*Periode!BD131/40)+(J131*Periode!BF131/40)+(G131*Periode!BE131/40)</f>
        <v>565.20000000000005</v>
      </c>
      <c r="L131" s="132"/>
      <c r="M131" s="136"/>
      <c r="N131" s="136"/>
      <c r="O131" s="42"/>
      <c r="P131" s="73"/>
      <c r="Q131" s="43">
        <f>K131+O131+P131</f>
        <v>565.20000000000005</v>
      </c>
      <c r="R131" s="722" t="s">
        <v>463</v>
      </c>
      <c r="S131" s="241" t="s">
        <v>441</v>
      </c>
      <c r="U131" s="343"/>
    </row>
    <row r="132" spans="2:26" s="91" customFormat="1" ht="15" customHeight="1">
      <c r="B132" s="1149"/>
      <c r="C132" s="5"/>
      <c r="D132" s="61"/>
      <c r="E132" s="60"/>
      <c r="F132" s="60"/>
      <c r="G132" s="235"/>
      <c r="H132" s="235"/>
      <c r="I132" s="235"/>
      <c r="J132" s="60"/>
      <c r="K132" s="106"/>
      <c r="L132" s="132"/>
      <c r="M132" s="136"/>
      <c r="N132" s="136"/>
      <c r="O132" s="42"/>
      <c r="P132" s="73"/>
      <c r="Q132" s="43"/>
      <c r="R132" s="1231" t="s">
        <v>446</v>
      </c>
      <c r="S132" s="241"/>
      <c r="U132" s="343"/>
    </row>
    <row r="133" spans="2:26" s="87" customFormat="1" ht="15" customHeight="1" thickBot="1">
      <c r="B133" s="1149"/>
      <c r="C133" s="172">
        <f>Periode!H133</f>
        <v>0</v>
      </c>
      <c r="D133" s="61"/>
      <c r="E133" s="60"/>
      <c r="F133" s="60"/>
      <c r="G133" s="60"/>
      <c r="H133" s="60"/>
      <c r="I133" s="60"/>
      <c r="J133" s="438"/>
      <c r="K133" s="106"/>
      <c r="L133" s="132"/>
      <c r="M133" s="61"/>
      <c r="N133" s="61"/>
      <c r="O133" s="90"/>
      <c r="P133" s="73"/>
      <c r="Q133" s="389"/>
      <c r="R133" s="962">
        <f>K134</f>
        <v>542.49250000000006</v>
      </c>
      <c r="U133" s="409"/>
    </row>
    <row r="134" spans="2:26" s="91" customFormat="1" ht="15" customHeight="1">
      <c r="B134" s="1149" t="str">
        <f>Periode!B134</f>
        <v>Remco van Doorne</v>
      </c>
      <c r="C134" s="5">
        <f>Periode!G134</f>
        <v>0</v>
      </c>
      <c r="D134" s="61">
        <v>5</v>
      </c>
      <c r="E134" s="60">
        <v>40</v>
      </c>
      <c r="F134" s="60"/>
      <c r="G134" s="235"/>
      <c r="H134" s="235"/>
      <c r="I134" s="235"/>
      <c r="J134" s="60"/>
      <c r="K134" s="106">
        <f>(Periode!BB134*E134/40)+((F134+H134+I134)*Periode!BD134/40)+(J134*Periode!BF134/40)+(G134*Periode!BE134/40)</f>
        <v>542.49250000000006</v>
      </c>
      <c r="L134" s="704"/>
      <c r="M134" s="136"/>
      <c r="N134" s="136"/>
      <c r="O134" s="42"/>
      <c r="P134" s="1146">
        <f>(D134*Periode!AY134)</f>
        <v>52.15</v>
      </c>
      <c r="Q134" s="43">
        <f>K134+O134+P134</f>
        <v>594.64250000000004</v>
      </c>
      <c r="R134" s="962" t="s">
        <v>454</v>
      </c>
      <c r="S134" s="878" t="s">
        <v>429</v>
      </c>
      <c r="T134" s="825"/>
      <c r="U134" s="826"/>
      <c r="V134" s="825"/>
      <c r="W134" s="825"/>
      <c r="X134" s="825"/>
      <c r="Y134" s="827"/>
    </row>
    <row r="135" spans="2:26" s="91" customFormat="1" ht="15" customHeight="1">
      <c r="B135" s="1149"/>
      <c r="C135" s="5"/>
      <c r="D135" s="61"/>
      <c r="E135" s="60"/>
      <c r="F135" s="60"/>
      <c r="G135" s="235"/>
      <c r="H135" s="235"/>
      <c r="I135" s="235"/>
      <c r="J135" s="60"/>
      <c r="K135" s="106"/>
      <c r="L135" s="132"/>
      <c r="M135" s="136"/>
      <c r="N135" s="136"/>
      <c r="O135" s="42"/>
      <c r="P135" s="73"/>
      <c r="Q135" s="43"/>
      <c r="R135" s="962">
        <f>P134</f>
        <v>52.15</v>
      </c>
      <c r="S135" s="676" t="s">
        <v>432</v>
      </c>
      <c r="U135" s="343"/>
      <c r="Y135" s="858"/>
    </row>
    <row r="136" spans="2:26" s="87" customFormat="1" ht="15" customHeight="1" thickBot="1">
      <c r="B136" s="1149"/>
      <c r="C136" s="172">
        <f>Periode!H136</f>
        <v>0</v>
      </c>
      <c r="D136" s="61"/>
      <c r="E136" s="60"/>
      <c r="F136" s="60"/>
      <c r="G136" s="60"/>
      <c r="H136" s="60"/>
      <c r="I136" s="60"/>
      <c r="J136" s="60"/>
      <c r="K136" s="106"/>
      <c r="L136" s="133"/>
      <c r="M136" s="61"/>
      <c r="N136" s="61"/>
      <c r="O136" s="659"/>
      <c r="P136" s="73"/>
      <c r="Q136" s="389"/>
      <c r="R136" s="1230"/>
      <c r="S136" s="877" t="s">
        <v>433</v>
      </c>
      <c r="T136" s="1179"/>
      <c r="U136" s="1180"/>
      <c r="V136" s="1179"/>
      <c r="W136" s="1179"/>
      <c r="X136" s="1179"/>
      <c r="Y136" s="1181"/>
      <c r="Z136" s="1"/>
    </row>
    <row r="137" spans="2:26" s="87" customFormat="1" ht="15" customHeight="1">
      <c r="B137" s="1149"/>
      <c r="C137" s="172">
        <f>Periode!H137</f>
        <v>0</v>
      </c>
      <c r="D137" s="61"/>
      <c r="E137" s="60"/>
      <c r="F137" s="60"/>
      <c r="G137" s="60"/>
      <c r="H137" s="60"/>
      <c r="I137" s="60"/>
      <c r="J137" s="60"/>
      <c r="K137" s="106"/>
      <c r="L137" s="133"/>
      <c r="M137" s="61"/>
      <c r="N137" s="61"/>
      <c r="O137" s="659"/>
      <c r="P137" s="73"/>
      <c r="Q137" s="389"/>
      <c r="R137" s="971"/>
      <c r="S137" s="407"/>
      <c r="T137" s="1"/>
      <c r="U137" s="411"/>
      <c r="V137" s="1"/>
      <c r="W137" s="1"/>
      <c r="X137" s="1"/>
      <c r="Y137" s="1"/>
      <c r="Z137" s="1"/>
    </row>
    <row r="138" spans="2:26" s="91" customFormat="1" ht="16.5" customHeight="1">
      <c r="B138" s="1149" t="str">
        <f>Periode!B138</f>
        <v>Rob Valkenburg</v>
      </c>
      <c r="C138" s="5" t="str">
        <f>Periode!G138</f>
        <v>0</v>
      </c>
      <c r="D138" s="61">
        <v>5</v>
      </c>
      <c r="E138" s="60">
        <v>39</v>
      </c>
      <c r="F138" s="235"/>
      <c r="G138" s="60"/>
      <c r="H138" s="235"/>
      <c r="I138" s="60"/>
      <c r="J138" s="235"/>
      <c r="K138" s="106">
        <f>(Periode!BB138*E138/40)+((F138+H138+I138)*Periode!BD138/40)+(J138*Periode!BF138/40)+(G138*Periode!BE138/40)</f>
        <v>713.6122499999999</v>
      </c>
      <c r="L138" s="132">
        <v>35</v>
      </c>
      <c r="M138" s="136"/>
      <c r="N138" s="136">
        <f>(L138*D138*2)+M138</f>
        <v>350</v>
      </c>
      <c r="O138" s="42">
        <f>((L138*2*D138)+M138)*0.28</f>
        <v>98.000000000000014</v>
      </c>
      <c r="P138" s="73"/>
      <c r="Q138" s="43">
        <f>K138+O138+P138</f>
        <v>811.6122499999999</v>
      </c>
      <c r="R138" s="722" t="s">
        <v>464</v>
      </c>
      <c r="S138" s="241" t="s">
        <v>437</v>
      </c>
      <c r="U138" s="343"/>
    </row>
    <row r="139" spans="2:26" s="87" customFormat="1" ht="15" customHeight="1">
      <c r="B139" s="1149"/>
      <c r="C139" s="172">
        <f>Periode!H139</f>
        <v>0</v>
      </c>
      <c r="D139" s="61"/>
      <c r="E139" s="60"/>
      <c r="F139" s="60"/>
      <c r="G139" s="60"/>
      <c r="H139" s="60"/>
      <c r="I139" s="60"/>
      <c r="J139" s="60"/>
      <c r="K139" s="106"/>
      <c r="L139" s="132"/>
      <c r="M139" s="61"/>
      <c r="N139" s="61"/>
      <c r="P139" s="73"/>
      <c r="Q139" s="389"/>
      <c r="R139" s="722"/>
      <c r="S139" s="241"/>
      <c r="T139" s="1"/>
      <c r="U139" s="411"/>
      <c r="V139" s="1"/>
      <c r="W139" s="1"/>
      <c r="X139" s="1"/>
      <c r="Y139" s="1"/>
      <c r="Z139" s="1"/>
    </row>
    <row r="140" spans="2:26" s="91" customFormat="1" ht="15" customHeight="1">
      <c r="B140" s="1149"/>
      <c r="C140" s="5"/>
      <c r="D140" s="61"/>
      <c r="E140" s="60"/>
      <c r="F140" s="235"/>
      <c r="G140" s="235"/>
      <c r="H140" s="235"/>
      <c r="I140" s="235"/>
      <c r="J140" s="235"/>
      <c r="K140" s="106"/>
      <c r="L140" s="132"/>
      <c r="M140" s="136"/>
      <c r="N140" s="136"/>
      <c r="O140" s="42"/>
      <c r="P140" s="42"/>
      <c r="Q140" s="43"/>
      <c r="R140" s="814"/>
      <c r="S140" s="241"/>
      <c r="U140" s="343"/>
    </row>
    <row r="141" spans="2:26" s="91" customFormat="1" ht="15" customHeight="1">
      <c r="B141" s="1149" t="str">
        <f>Periode!B141</f>
        <v>Herman Vos</v>
      </c>
      <c r="C141" s="5">
        <f>Periode!G141</f>
        <v>0</v>
      </c>
      <c r="D141" s="61">
        <v>5</v>
      </c>
      <c r="E141" s="60">
        <v>40</v>
      </c>
      <c r="F141" s="60"/>
      <c r="G141" s="60"/>
      <c r="H141" s="60"/>
      <c r="I141" s="60"/>
      <c r="J141" s="60"/>
      <c r="K141" s="106">
        <f>(Periode!BB141*E141/40)+((F141+H141+I141)*Periode!BD141/40)+(J141*Periode!BF141/40)+(G141*Periode!BE141/40)</f>
        <v>750</v>
      </c>
      <c r="L141" s="132"/>
      <c r="M141" s="136"/>
      <c r="N141" s="136"/>
      <c r="O141" s="42"/>
      <c r="P141" s="73"/>
      <c r="Q141" s="43">
        <f>K141+O141+P141</f>
        <v>750</v>
      </c>
      <c r="R141" s="722"/>
      <c r="S141" s="241" t="s">
        <v>424</v>
      </c>
      <c r="U141" s="343"/>
    </row>
    <row r="142" spans="2:26" s="87" customFormat="1" ht="15" customHeight="1">
      <c r="B142" s="1149"/>
      <c r="C142" s="172">
        <f>Periode!H142</f>
        <v>0</v>
      </c>
      <c r="D142" s="61"/>
      <c r="E142" s="60"/>
      <c r="F142" s="60"/>
      <c r="G142" s="60"/>
      <c r="H142" s="60"/>
      <c r="I142" s="60"/>
      <c r="J142" s="60"/>
      <c r="K142" s="106"/>
      <c r="L142" s="132"/>
      <c r="M142" s="61"/>
      <c r="N142" s="61"/>
      <c r="O142" s="42"/>
      <c r="P142" s="73"/>
      <c r="Q142" s="389"/>
      <c r="R142" s="1210"/>
      <c r="S142" s="407"/>
      <c r="U142" s="409"/>
    </row>
    <row r="143" spans="2:26" s="91" customFormat="1" ht="15" customHeight="1">
      <c r="B143" s="1149" t="str">
        <f>Periode!B143</f>
        <v>Remco Groenendaal</v>
      </c>
      <c r="C143" s="5" t="str">
        <f>Periode!G143</f>
        <v>32 (4wk)</v>
      </c>
      <c r="D143" s="61">
        <v>4</v>
      </c>
      <c r="E143" s="60">
        <v>29.5</v>
      </c>
      <c r="F143" s="60"/>
      <c r="G143" s="60"/>
      <c r="H143" s="60"/>
      <c r="I143" s="60">
        <v>10.5</v>
      </c>
      <c r="J143" s="60"/>
      <c r="K143" s="106">
        <f>(Periode!BB143*E143/40)+((F143+H143+I143)*Periode!BD143/40)+(J143*Periode!BF143/40)+(G143*Periode!BE143/40)</f>
        <v>715.94070999999997</v>
      </c>
      <c r="L143" s="132">
        <v>30</v>
      </c>
      <c r="M143" s="136"/>
      <c r="N143" s="136">
        <f>(L143*D143*2)+M143</f>
        <v>240</v>
      </c>
      <c r="O143" s="42">
        <f>((L143*2*D143)+M143)*0.28</f>
        <v>67.2</v>
      </c>
      <c r="P143" s="73"/>
      <c r="Q143" s="43">
        <f>K143+O143+P143</f>
        <v>783.14071000000001</v>
      </c>
      <c r="R143" s="722" t="s">
        <v>480</v>
      </c>
      <c r="S143" s="241" t="s">
        <v>408</v>
      </c>
      <c r="U143" s="343"/>
    </row>
    <row r="144" spans="2:26" s="87" customFormat="1" ht="15" customHeight="1">
      <c r="B144" s="1149"/>
      <c r="C144" s="172">
        <f>Periode!H144</f>
        <v>0</v>
      </c>
      <c r="D144" s="61"/>
      <c r="E144" s="60"/>
      <c r="F144" s="60"/>
      <c r="G144" s="60"/>
      <c r="H144" s="60"/>
      <c r="I144" s="60"/>
      <c r="J144" s="60"/>
      <c r="K144" s="106"/>
      <c r="L144" s="132"/>
      <c r="M144" s="61"/>
      <c r="N144" s="61"/>
      <c r="O144" s="42"/>
      <c r="P144" s="73"/>
      <c r="Q144" s="389"/>
      <c r="R144" s="1210"/>
      <c r="S144" s="407"/>
      <c r="U144" s="409"/>
    </row>
    <row r="145" spans="1:26" s="87" customFormat="1" ht="15" customHeight="1">
      <c r="B145" s="1149"/>
      <c r="C145" s="172">
        <f>Periode!H145</f>
        <v>0</v>
      </c>
      <c r="D145" s="61"/>
      <c r="E145" s="60"/>
      <c r="F145" s="60"/>
      <c r="G145" s="60"/>
      <c r="H145" s="60"/>
      <c r="I145" s="60"/>
      <c r="J145" s="60"/>
      <c r="K145" s="106"/>
      <c r="L145" s="132"/>
      <c r="M145" s="61"/>
      <c r="N145" s="61"/>
      <c r="O145" s="42"/>
      <c r="P145" s="73"/>
      <c r="Q145" s="389"/>
      <c r="R145" s="722"/>
      <c r="S145" s="407"/>
      <c r="U145" s="409"/>
    </row>
    <row r="146" spans="1:26" s="87" customFormat="1" ht="15" customHeight="1">
      <c r="B146" s="1149"/>
      <c r="C146" s="172">
        <f>Periode!H146</f>
        <v>0</v>
      </c>
      <c r="D146" s="61"/>
      <c r="E146" s="60"/>
      <c r="F146" s="60"/>
      <c r="G146" s="60"/>
      <c r="H146" s="60"/>
      <c r="I146" s="60"/>
      <c r="J146" s="60"/>
      <c r="K146" s="106"/>
      <c r="L146" s="132"/>
      <c r="M146" s="61"/>
      <c r="N146" s="61"/>
      <c r="O146" s="42"/>
      <c r="P146" s="73"/>
      <c r="Q146" s="389"/>
      <c r="R146" s="722"/>
      <c r="S146" s="407"/>
      <c r="U146" s="409"/>
    </row>
    <row r="147" spans="1:26" s="91" customFormat="1" ht="15" customHeight="1">
      <c r="B147" s="1149" t="str">
        <f>Periode!B147</f>
        <v>Fred Termonen</v>
      </c>
      <c r="C147" s="5" t="str">
        <f>Periode!G147</f>
        <v>32 (4wk)</v>
      </c>
      <c r="D147" s="61">
        <v>3</v>
      </c>
      <c r="E147" s="60">
        <v>24</v>
      </c>
      <c r="F147" s="60"/>
      <c r="G147" s="60"/>
      <c r="H147" s="60"/>
      <c r="I147" s="60"/>
      <c r="J147" s="60"/>
      <c r="K147" s="106">
        <f>(Periode!BB147*E147/40)+((F147+H147+I147)*Periode!BD147/40)+(J147*Periode!BF147/40)+(G147*Periode!BE147/40)</f>
        <v>456.67200000000003</v>
      </c>
      <c r="L147" s="136"/>
      <c r="M147" s="136"/>
      <c r="N147" s="136"/>
      <c r="O147" s="42"/>
      <c r="P147" s="73"/>
      <c r="Q147" s="43">
        <f>K147+O147+P147</f>
        <v>456.67200000000003</v>
      </c>
      <c r="R147" s="722" t="s">
        <v>465</v>
      </c>
      <c r="S147" s="241" t="s">
        <v>201</v>
      </c>
      <c r="U147" s="343"/>
    </row>
    <row r="148" spans="1:26" s="87" customFormat="1" ht="15" customHeight="1">
      <c r="B148" s="1149"/>
      <c r="C148" s="172">
        <f>Periode!H148</f>
        <v>0</v>
      </c>
      <c r="D148" s="61"/>
      <c r="E148" s="60"/>
      <c r="F148" s="60"/>
      <c r="G148" s="60"/>
      <c r="H148" s="60"/>
      <c r="I148" s="60"/>
      <c r="J148" s="60"/>
      <c r="K148" s="106"/>
      <c r="L148" s="133"/>
      <c r="M148" s="61"/>
      <c r="N148" s="61"/>
      <c r="O148" s="659"/>
      <c r="P148" s="73"/>
      <c r="Q148" s="389"/>
      <c r="R148" s="722"/>
      <c r="S148" s="407"/>
      <c r="T148" s="1"/>
      <c r="U148" s="411"/>
      <c r="V148" s="1"/>
      <c r="W148" s="1"/>
      <c r="X148" s="1"/>
      <c r="Y148" s="1"/>
      <c r="Z148" s="1"/>
    </row>
    <row r="149" spans="1:26" s="719" customFormat="1" ht="15" customHeight="1">
      <c r="A149" s="91"/>
      <c r="B149" s="1149" t="str">
        <f>Periode!B149</f>
        <v>Arnold Verstraten</v>
      </c>
      <c r="C149" s="5" t="str">
        <f>Periode!G149</f>
        <v>32 (4wk)</v>
      </c>
      <c r="D149" s="61">
        <v>5</v>
      </c>
      <c r="E149" s="60">
        <v>40</v>
      </c>
      <c r="F149" s="60"/>
      <c r="G149" s="60"/>
      <c r="H149" s="60"/>
      <c r="I149" s="60"/>
      <c r="J149" s="60"/>
      <c r="K149" s="106">
        <f>(Periode!BB149*E149/40)+((F149+H149+I149)*Periode!BD149/40)+(J149*Periode!BF149/40)+(G149*Periode!BE149/40)</f>
        <v>700.42000000000007</v>
      </c>
      <c r="L149" s="132">
        <v>27</v>
      </c>
      <c r="M149" s="136"/>
      <c r="N149" s="136">
        <f>(L149*D149*2)+M149</f>
        <v>270</v>
      </c>
      <c r="O149" s="42">
        <f>((L149*2*D149)+M149)*0.28</f>
        <v>75.600000000000009</v>
      </c>
      <c r="P149" s="73"/>
      <c r="Q149" s="43">
        <f>K149+O149+P149</f>
        <v>776.0200000000001</v>
      </c>
      <c r="R149" s="722"/>
      <c r="S149" s="241" t="s">
        <v>252</v>
      </c>
      <c r="U149" s="720"/>
    </row>
    <row r="150" spans="1:26">
      <c r="K150" s="106"/>
      <c r="Q150" s="1198"/>
      <c r="R150" s="971"/>
      <c r="S150" s="407"/>
    </row>
    <row r="151" spans="1:26">
      <c r="K151" s="106"/>
      <c r="O151" s="808"/>
      <c r="R151" s="273"/>
      <c r="S151" s="407"/>
    </row>
    <row r="152" spans="1:26" s="87" customFormat="1" ht="15" customHeight="1">
      <c r="B152" s="1149"/>
      <c r="C152" s="88"/>
      <c r="D152" s="112"/>
      <c r="E152" s="874"/>
      <c r="F152" s="874"/>
      <c r="G152" s="874"/>
      <c r="H152" s="874"/>
      <c r="I152" s="874"/>
      <c r="J152" s="874"/>
      <c r="K152" s="89"/>
      <c r="L152" s="112"/>
      <c r="M152" s="112"/>
      <c r="N152" s="112"/>
      <c r="O152" s="90"/>
      <c r="P152" s="90"/>
      <c r="Q152" s="90"/>
      <c r="R152" s="879"/>
      <c r="S152" s="875"/>
      <c r="U152" s="409"/>
    </row>
    <row r="153" spans="1:26">
      <c r="K153" s="106"/>
      <c r="R153" s="347"/>
    </row>
    <row r="154" spans="1:26">
      <c r="K154" s="106"/>
    </row>
    <row r="155" spans="1:26" s="719" customFormat="1" ht="15" customHeight="1">
      <c r="A155" s="91"/>
      <c r="B155" s="242"/>
      <c r="C155" s="242"/>
      <c r="D155" s="243"/>
      <c r="E155" s="406"/>
      <c r="F155" s="406"/>
      <c r="G155" s="406"/>
      <c r="H155" s="406"/>
      <c r="I155" s="406"/>
      <c r="J155" s="406"/>
      <c r="K155" s="244"/>
      <c r="L155" s="243"/>
      <c r="M155" s="243"/>
      <c r="N155" s="243"/>
      <c r="O155" s="245">
        <f>((L155*2*D155)+M155)*0.28</f>
        <v>0</v>
      </c>
      <c r="P155" s="245"/>
      <c r="Q155" s="245"/>
      <c r="R155" s="271"/>
      <c r="S155" s="241"/>
      <c r="U155" s="720"/>
    </row>
    <row r="156" spans="1:26" s="719" customFormat="1" ht="15" customHeight="1">
      <c r="A156" s="91"/>
      <c r="B156" s="5"/>
      <c r="C156" s="5"/>
      <c r="D156" s="61"/>
      <c r="E156" s="60"/>
      <c r="F156" s="235"/>
      <c r="G156" s="235"/>
      <c r="H156" s="235"/>
      <c r="I156" s="235"/>
      <c r="J156" s="235"/>
      <c r="K156" s="106"/>
      <c r="L156" s="132"/>
      <c r="M156" s="136"/>
      <c r="N156" s="136"/>
      <c r="O156" s="42"/>
      <c r="P156" s="42"/>
      <c r="Q156" s="42"/>
      <c r="R156" s="393"/>
      <c r="S156" s="241"/>
      <c r="U156" s="720"/>
    </row>
    <row r="157" spans="1:26">
      <c r="R157" s="393"/>
    </row>
    <row r="158" spans="1:26">
      <c r="O158" s="65"/>
      <c r="R158" s="700"/>
    </row>
    <row r="159" spans="1:26">
      <c r="O159" s="65"/>
      <c r="R159" s="700"/>
    </row>
    <row r="160" spans="1:26">
      <c r="R160" s="700"/>
    </row>
  </sheetData>
  <pageMargins left="0.19685039370078741" right="0.11811023622047245" top="0.35433070866141736" bottom="0.39370078740157483" header="0.31496062992125984" footer="0.31496062992125984"/>
  <pageSetup paperSize="9"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A77F9-FC57-45F4-951B-5CD101044B10}">
  <sheetPr>
    <tabColor theme="0"/>
    <pageSetUpPr fitToPage="1"/>
  </sheetPr>
  <dimension ref="A1:DW160"/>
  <sheetViews>
    <sheetView zoomScaleNormal="100" workbookViewId="0">
      <pane xSplit="16" ySplit="7" topLeftCell="Q113" activePane="bottomRight" state="frozen"/>
      <selection pane="topRight" activeCell="P1" sqref="P1"/>
      <selection pane="bottomLeft" activeCell="A20" sqref="A20"/>
      <selection pane="bottomRight" activeCell="S134" sqref="S134:Y136"/>
    </sheetView>
  </sheetViews>
  <sheetFormatPr defaultColWidth="9.140625" defaultRowHeight="15"/>
  <cols>
    <col min="1" max="1" width="1.5703125" style="1" customWidth="1"/>
    <col min="2" max="2" width="31" style="72" customWidth="1"/>
    <col min="3" max="3" width="8" style="72" customWidth="1"/>
    <col min="4" max="4" width="6.7109375" style="64" customWidth="1"/>
    <col min="5" max="6" width="6.85546875" style="62" customWidth="1"/>
    <col min="7" max="9" width="5.28515625" style="62" customWidth="1"/>
    <col min="10" max="10" width="6.42578125" style="439" bestFit="1" customWidth="1"/>
    <col min="11" max="11" width="12.140625" style="63" bestFit="1" customWidth="1"/>
    <col min="12" max="12" width="9.5703125" style="133" customWidth="1"/>
    <col min="13" max="13" width="9.5703125" style="64" customWidth="1"/>
    <col min="14" max="14" width="9.42578125" style="64" customWidth="1"/>
    <col min="15" max="15" width="11.5703125" style="659" customWidth="1"/>
    <col min="16" max="16" width="10.5703125" style="95" customWidth="1"/>
    <col min="17" max="17" width="13.7109375" style="65" customWidth="1"/>
    <col min="18" max="18" width="56.7109375" style="271" customWidth="1"/>
    <col min="19" max="19" width="9.140625" style="387"/>
    <col min="20" max="20" width="9.140625" style="1" customWidth="1"/>
    <col min="21" max="21" width="9.140625" style="411"/>
    <col min="22" max="23" width="9.140625" style="1"/>
    <col min="24" max="24" width="23.85546875" style="1" customWidth="1"/>
    <col min="25" max="16384" width="9.140625" style="1"/>
  </cols>
  <sheetData>
    <row r="1" spans="2:127">
      <c r="B1" s="108"/>
      <c r="C1" s="70"/>
      <c r="D1" s="66"/>
      <c r="E1" s="67"/>
      <c r="F1" s="67"/>
      <c r="G1" s="67"/>
      <c r="H1" s="67"/>
      <c r="I1" s="67"/>
      <c r="J1" s="437"/>
      <c r="K1" s="68"/>
      <c r="L1" s="128"/>
      <c r="M1" s="66"/>
      <c r="N1" s="66"/>
      <c r="O1" s="543"/>
      <c r="P1" s="94"/>
      <c r="Q1" s="69"/>
      <c r="R1" s="91"/>
      <c r="S1" s="407"/>
    </row>
    <row r="2" spans="2:127">
      <c r="B2" s="109" t="s">
        <v>59</v>
      </c>
      <c r="C2" s="110"/>
      <c r="D2" s="111"/>
      <c r="E2" s="67"/>
      <c r="F2" s="67"/>
      <c r="G2" s="67"/>
      <c r="H2" s="462"/>
      <c r="I2" s="463"/>
      <c r="J2" s="464"/>
      <c r="K2" s="355"/>
      <c r="L2" s="356"/>
      <c r="M2" s="357"/>
      <c r="N2" s="354"/>
      <c r="O2" s="543"/>
      <c r="P2" s="94"/>
      <c r="Q2" s="69"/>
      <c r="R2" s="91"/>
      <c r="S2" s="407"/>
    </row>
    <row r="3" spans="2:127">
      <c r="B3" s="70"/>
      <c r="C3" s="70"/>
      <c r="D3" s="66"/>
      <c r="E3" s="67"/>
      <c r="F3" s="67"/>
      <c r="G3" s="67"/>
      <c r="H3" s="67"/>
      <c r="I3" s="67"/>
      <c r="J3" s="437"/>
      <c r="K3" s="68"/>
      <c r="L3" s="128"/>
      <c r="M3" s="66"/>
      <c r="N3" s="66"/>
      <c r="O3" s="543"/>
      <c r="P3" s="94"/>
      <c r="Q3" s="69"/>
      <c r="R3" s="91"/>
      <c r="S3" s="407"/>
    </row>
    <row r="4" spans="2:127">
      <c r="B4" s="71"/>
      <c r="C4" s="71"/>
      <c r="D4" s="66"/>
      <c r="E4" s="67"/>
      <c r="F4" s="365"/>
      <c r="G4" s="819"/>
      <c r="H4" s="67"/>
      <c r="I4" s="67"/>
      <c r="J4" s="67"/>
      <c r="K4" s="50"/>
      <c r="L4" s="129"/>
      <c r="M4" s="37"/>
      <c r="N4" s="37"/>
      <c r="O4" s="543"/>
      <c r="P4" s="34" t="s">
        <v>65</v>
      </c>
      <c r="Q4" s="9"/>
      <c r="R4" s="91"/>
      <c r="S4" s="407"/>
    </row>
    <row r="5" spans="2:127">
      <c r="B5" s="74"/>
      <c r="C5" s="74"/>
      <c r="D5" s="32" t="s">
        <v>5</v>
      </c>
      <c r="E5" s="49" t="s">
        <v>41</v>
      </c>
      <c r="F5" s="55" t="s">
        <v>38</v>
      </c>
      <c r="G5" s="55" t="s">
        <v>217</v>
      </c>
      <c r="H5" s="55" t="s">
        <v>37</v>
      </c>
      <c r="I5" s="55" t="s">
        <v>381</v>
      </c>
      <c r="J5" s="55" t="s">
        <v>35</v>
      </c>
      <c r="K5" s="50"/>
      <c r="L5" s="130" t="s">
        <v>51</v>
      </c>
      <c r="M5" s="52" t="s">
        <v>9</v>
      </c>
      <c r="O5" s="6" t="s">
        <v>8</v>
      </c>
      <c r="P5" s="53" t="s">
        <v>46</v>
      </c>
      <c r="Q5" s="206" t="s">
        <v>9</v>
      </c>
      <c r="R5" s="1204"/>
      <c r="S5" s="407"/>
    </row>
    <row r="6" spans="2:127">
      <c r="B6" s="75"/>
      <c r="C6" s="75" t="s">
        <v>84</v>
      </c>
      <c r="D6" s="92" t="s">
        <v>39</v>
      </c>
      <c r="E6" s="93" t="s">
        <v>39</v>
      </c>
      <c r="F6" s="93" t="s">
        <v>42</v>
      </c>
      <c r="G6" s="93" t="s">
        <v>42</v>
      </c>
      <c r="H6" s="93" t="s">
        <v>42</v>
      </c>
      <c r="I6" s="93" t="s">
        <v>44</v>
      </c>
      <c r="J6" s="93" t="s">
        <v>44</v>
      </c>
      <c r="K6" s="51" t="s">
        <v>4</v>
      </c>
      <c r="L6" s="130" t="s">
        <v>48</v>
      </c>
      <c r="M6" s="52" t="s">
        <v>50</v>
      </c>
      <c r="N6" s="5" t="s">
        <v>9</v>
      </c>
      <c r="O6" s="6" t="s">
        <v>3</v>
      </c>
      <c r="P6" s="53" t="s">
        <v>120</v>
      </c>
      <c r="Q6" s="206" t="s">
        <v>4</v>
      </c>
      <c r="R6" s="1214"/>
      <c r="S6" s="407"/>
    </row>
    <row r="7" spans="2:127" s="2" customFormat="1">
      <c r="B7" s="386" t="s">
        <v>52</v>
      </c>
      <c r="C7" s="54" t="s">
        <v>41</v>
      </c>
      <c r="D7" s="58" t="s">
        <v>40</v>
      </c>
      <c r="E7" s="55" t="s">
        <v>40</v>
      </c>
      <c r="F7" s="55" t="s">
        <v>43</v>
      </c>
      <c r="G7" s="55" t="s">
        <v>43</v>
      </c>
      <c r="H7" s="55" t="s">
        <v>43</v>
      </c>
      <c r="I7" s="55" t="s">
        <v>45</v>
      </c>
      <c r="J7" s="55" t="s">
        <v>45</v>
      </c>
      <c r="K7" s="56" t="s">
        <v>6</v>
      </c>
      <c r="L7" s="131" t="s">
        <v>49</v>
      </c>
      <c r="M7" s="58" t="s">
        <v>49</v>
      </c>
      <c r="N7" s="135" t="s">
        <v>63</v>
      </c>
      <c r="O7" s="57" t="s">
        <v>6</v>
      </c>
      <c r="P7" s="53" t="s">
        <v>7</v>
      </c>
      <c r="Q7" s="206" t="s">
        <v>1</v>
      </c>
      <c r="R7" s="1204" t="s">
        <v>19</v>
      </c>
      <c r="S7" s="1203" t="s">
        <v>80</v>
      </c>
      <c r="T7" s="1"/>
      <c r="U7" s="41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row>
    <row r="8" spans="2:127" s="91" customFormat="1" ht="15" customHeight="1">
      <c r="B8" s="5" t="str">
        <f>Periode!B8</f>
        <v>Ruben Hellemons</v>
      </c>
      <c r="C8" s="5" t="str">
        <f>Periode!G8</f>
        <v>124 (4wk)</v>
      </c>
      <c r="D8" s="61">
        <v>4</v>
      </c>
      <c r="E8" s="60">
        <v>32</v>
      </c>
      <c r="F8" s="60"/>
      <c r="G8" s="60"/>
      <c r="H8" s="60"/>
      <c r="I8" s="60"/>
      <c r="J8" s="60">
        <v>8</v>
      </c>
      <c r="K8" s="106">
        <f>(Periode!BB8*E8/40)+((F8+H8+I8)*Periode!BD8/40)+(J8*Periode!BF8/40)+(G8*Periode!BE8/40)</f>
        <v>717.44035999999994</v>
      </c>
      <c r="L8" s="132"/>
      <c r="M8" s="61"/>
      <c r="N8" s="136"/>
      <c r="O8" s="42"/>
      <c r="P8" s="73"/>
      <c r="Q8" s="43">
        <f>K8+O8+P8</f>
        <v>717.44035999999994</v>
      </c>
      <c r="R8" s="560" t="s">
        <v>484</v>
      </c>
      <c r="S8" s="241" t="s">
        <v>216</v>
      </c>
      <c r="U8" s="407"/>
    </row>
    <row r="9" spans="2:127" s="91" customFormat="1">
      <c r="B9" s="5"/>
      <c r="C9" s="5"/>
      <c r="D9" s="61"/>
      <c r="E9" s="60"/>
      <c r="F9" s="235"/>
      <c r="G9" s="426"/>
      <c r="H9" s="426"/>
      <c r="I9" s="426"/>
      <c r="J9" s="60"/>
      <c r="K9" s="106"/>
      <c r="L9" s="136"/>
      <c r="M9" s="136"/>
      <c r="N9" s="319"/>
      <c r="O9" s="42"/>
      <c r="P9" s="73"/>
      <c r="Q9" s="389"/>
      <c r="R9" s="560"/>
      <c r="S9" s="241"/>
      <c r="U9" s="241"/>
    </row>
    <row r="10" spans="2:127" s="246" customFormat="1">
      <c r="B10" s="591"/>
      <c r="C10" s="591"/>
      <c r="D10" s="242"/>
      <c r="E10" s="461"/>
      <c r="F10" s="461"/>
      <c r="G10" s="461"/>
      <c r="H10" s="461"/>
      <c r="I10" s="461"/>
      <c r="J10" s="461"/>
      <c r="K10" s="106"/>
      <c r="L10" s="242"/>
      <c r="M10" s="242"/>
      <c r="O10" s="206"/>
      <c r="P10" s="614"/>
      <c r="Q10" s="43"/>
      <c r="R10" s="1202"/>
      <c r="S10" s="593"/>
      <c r="U10" s="241"/>
    </row>
    <row r="11" spans="2:127" s="246" customFormat="1" ht="15" customHeight="1">
      <c r="B11" s="242"/>
      <c r="C11" s="242"/>
      <c r="D11" s="243"/>
      <c r="E11" s="406"/>
      <c r="F11" s="406"/>
      <c r="G11" s="406"/>
      <c r="H11" s="406"/>
      <c r="I11" s="406"/>
      <c r="J11" s="406"/>
      <c r="K11" s="106"/>
      <c r="L11" s="243"/>
      <c r="M11" s="243"/>
      <c r="N11" s="610"/>
      <c r="O11" s="43"/>
      <c r="P11" s="612"/>
      <c r="Q11" s="43"/>
      <c r="R11" s="1202"/>
      <c r="S11" s="277"/>
      <c r="U11" s="241"/>
    </row>
    <row r="12" spans="2:127" s="91" customFormat="1" ht="15" customHeight="1">
      <c r="B12" s="5" t="str">
        <f>Periode!B12</f>
        <v>Andre Sintenie</v>
      </c>
      <c r="C12" s="5" t="str">
        <f>Periode!G12</f>
        <v>32 (4wk)</v>
      </c>
      <c r="D12" s="61">
        <v>3</v>
      </c>
      <c r="E12" s="60">
        <v>24</v>
      </c>
      <c r="F12" s="60"/>
      <c r="G12" s="60"/>
      <c r="H12" s="60"/>
      <c r="I12" s="60"/>
      <c r="J12" s="60">
        <v>8</v>
      </c>
      <c r="K12" s="106">
        <f>(Periode!BB12*E12/40)+((F12+H12+I12)*Periode!BD12/40)+(J12*Periode!BF12/40)+(G12*Periode!BE12/40)</f>
        <v>521.23368000000005</v>
      </c>
      <c r="L12" s="132"/>
      <c r="M12" s="61"/>
      <c r="N12" s="136"/>
      <c r="O12" s="42"/>
      <c r="P12" s="73"/>
      <c r="Q12" s="43">
        <f>K12+O12+P12</f>
        <v>521.23368000000005</v>
      </c>
      <c r="R12" s="560" t="s">
        <v>487</v>
      </c>
      <c r="S12" s="241" t="s">
        <v>164</v>
      </c>
      <c r="U12" s="407"/>
    </row>
    <row r="13" spans="2:127" s="87" customFormat="1" ht="15" customHeight="1">
      <c r="B13" s="172">
        <f>Periode!B13</f>
        <v>0</v>
      </c>
      <c r="C13" s="172">
        <f>Periode!H13</f>
        <v>0</v>
      </c>
      <c r="D13" s="61"/>
      <c r="E13" s="60"/>
      <c r="F13" s="60"/>
      <c r="G13" s="60"/>
      <c r="H13" s="348"/>
      <c r="I13" s="348"/>
      <c r="J13" s="60"/>
      <c r="K13" s="106"/>
      <c r="L13" s="132"/>
      <c r="M13" s="61"/>
      <c r="N13" s="611"/>
      <c r="O13" s="42"/>
      <c r="P13" s="73"/>
      <c r="Q13" s="304">
        <f t="shared" ref="Q13" si="0">K13+O13+P13</f>
        <v>0</v>
      </c>
      <c r="R13" s="1204"/>
      <c r="S13" s="409"/>
      <c r="U13" s="407"/>
    </row>
    <row r="14" spans="2:127" s="91" customFormat="1" ht="15" customHeight="1">
      <c r="B14" s="5"/>
      <c r="C14" s="5"/>
      <c r="D14" s="61"/>
      <c r="E14" s="60"/>
      <c r="F14" s="60"/>
      <c r="G14" s="60"/>
      <c r="H14" s="60"/>
      <c r="I14" s="60"/>
      <c r="J14" s="60"/>
      <c r="K14" s="106"/>
      <c r="L14" s="132"/>
      <c r="M14" s="61"/>
      <c r="N14" s="136"/>
      <c r="O14" s="42"/>
      <c r="P14" s="73"/>
      <c r="Q14" s="395"/>
      <c r="R14" s="560"/>
      <c r="S14" s="241"/>
      <c r="U14" s="407"/>
    </row>
    <row r="15" spans="2:127" s="91" customFormat="1" ht="15" customHeight="1">
      <c r="B15" s="5" t="str">
        <f>Periode!B15</f>
        <v xml:space="preserve">Dennis Aarts </v>
      </c>
      <c r="C15" s="5" t="str">
        <f>Periode!G15</f>
        <v>0</v>
      </c>
      <c r="D15" s="61"/>
      <c r="E15" s="60"/>
      <c r="F15" s="60"/>
      <c r="G15" s="60"/>
      <c r="H15" s="60"/>
      <c r="I15" s="60"/>
      <c r="J15" s="60">
        <v>8</v>
      </c>
      <c r="K15" s="106">
        <f>(Periode!BB15*E15/40)+((F15+H15+I15)*Periode!BD15/40)+(J15*Periode!BF15/40)+(G15*Periode!BE15/40)</f>
        <v>137.08728000000002</v>
      </c>
      <c r="L15" s="132"/>
      <c r="M15" s="61"/>
      <c r="N15" s="136"/>
      <c r="O15" s="42"/>
      <c r="P15" s="73"/>
      <c r="Q15" s="949">
        <f>K15+O15+P15</f>
        <v>137.08728000000002</v>
      </c>
      <c r="R15" s="722" t="s">
        <v>254</v>
      </c>
      <c r="S15" s="241" t="s">
        <v>251</v>
      </c>
      <c r="U15" s="407"/>
    </row>
    <row r="16" spans="2:127" s="246" customFormat="1" ht="15" customHeight="1">
      <c r="B16" s="5"/>
      <c r="C16" s="242"/>
      <c r="D16" s="61"/>
      <c r="E16" s="60"/>
      <c r="F16" s="60"/>
      <c r="G16" s="60"/>
      <c r="H16" s="60"/>
      <c r="I16" s="60"/>
      <c r="J16" s="60"/>
      <c r="K16" s="106"/>
      <c r="L16" s="132"/>
      <c r="M16" s="61"/>
      <c r="N16" s="243"/>
      <c r="O16" s="42"/>
      <c r="P16" s="73"/>
      <c r="Q16" s="395"/>
      <c r="R16" s="563" t="s">
        <v>491</v>
      </c>
      <c r="S16" s="277"/>
      <c r="U16" s="407"/>
    </row>
    <row r="17" spans="2:30" s="246" customFormat="1" ht="15" customHeight="1">
      <c r="B17" s="5" t="str">
        <f>Periode!B17</f>
        <v>Kay Sanders</v>
      </c>
      <c r="C17" s="242"/>
      <c r="D17" s="243"/>
      <c r="E17" s="406"/>
      <c r="F17" s="406"/>
      <c r="G17" s="406"/>
      <c r="H17" s="406"/>
      <c r="I17" s="406"/>
      <c r="J17" s="406"/>
      <c r="K17" s="244"/>
      <c r="L17" s="132"/>
      <c r="M17" s="243"/>
      <c r="N17" s="243"/>
      <c r="O17" s="42"/>
      <c r="P17" s="245"/>
      <c r="Q17" s="395"/>
      <c r="R17" s="722"/>
      <c r="S17" s="241"/>
      <c r="U17" s="277"/>
    </row>
    <row r="18" spans="2:30" s="91" customFormat="1" ht="15" customHeight="1">
      <c r="B18" s="5"/>
      <c r="C18" s="5"/>
      <c r="D18" s="61"/>
      <c r="E18" s="60"/>
      <c r="F18" s="60"/>
      <c r="G18" s="60"/>
      <c r="H18" s="60"/>
      <c r="I18" s="60"/>
      <c r="J18" s="60"/>
      <c r="K18" s="106"/>
      <c r="L18" s="132"/>
      <c r="M18" s="61"/>
      <c r="N18" s="136"/>
      <c r="O18" s="42"/>
      <c r="P18" s="73"/>
      <c r="Q18" s="43"/>
      <c r="R18" s="1205"/>
      <c r="S18" s="241"/>
      <c r="U18" s="407"/>
    </row>
    <row r="19" spans="2:30" s="246" customFormat="1" ht="15" customHeight="1">
      <c r="B19" s="5"/>
      <c r="C19" s="242"/>
      <c r="D19" s="61"/>
      <c r="E19" s="60"/>
      <c r="F19" s="60"/>
      <c r="G19" s="60"/>
      <c r="H19" s="60"/>
      <c r="I19" s="60"/>
      <c r="J19" s="60"/>
      <c r="K19" s="106"/>
      <c r="L19" s="279"/>
      <c r="M19" s="61"/>
      <c r="N19" s="243"/>
      <c r="O19" s="42"/>
      <c r="P19" s="73"/>
      <c r="Q19" s="395"/>
      <c r="R19" s="722"/>
      <c r="S19" s="397"/>
      <c r="T19" s="342"/>
      <c r="U19" s="413"/>
      <c r="V19" s="262"/>
      <c r="W19" s="262"/>
      <c r="X19" s="262"/>
      <c r="Y19" s="262"/>
      <c r="Z19" s="262"/>
      <c r="AA19" s="262"/>
      <c r="AB19" s="262"/>
      <c r="AC19" s="262"/>
      <c r="AD19" s="262"/>
    </row>
    <row r="20" spans="2:30" s="91" customFormat="1" ht="15" customHeight="1">
      <c r="B20" s="5"/>
      <c r="C20" s="5"/>
      <c r="D20" s="61"/>
      <c r="E20" s="60"/>
      <c r="F20" s="60"/>
      <c r="G20" s="60"/>
      <c r="H20" s="60"/>
      <c r="I20" s="60"/>
      <c r="J20" s="60"/>
      <c r="K20" s="106">
        <f>(Periode!BB20*E20/40)+((F20+H20+I20)*Periode!BD20/40)+(J20*Periode!BF20/40)+(G20*Periode!BE20/40)</f>
        <v>0</v>
      </c>
      <c r="L20" s="615"/>
      <c r="M20" s="61"/>
      <c r="N20" s="136"/>
      <c r="O20" s="42"/>
      <c r="P20" s="73"/>
      <c r="Q20" s="43">
        <f>K20+O20+P20</f>
        <v>0</v>
      </c>
      <c r="R20" s="560"/>
      <c r="S20" s="241"/>
      <c r="U20" s="407"/>
    </row>
    <row r="21" spans="2:30" s="91" customFormat="1" ht="15" customHeight="1">
      <c r="B21" s="5"/>
      <c r="C21" s="5"/>
      <c r="D21" s="61"/>
      <c r="E21" s="60"/>
      <c r="F21" s="60"/>
      <c r="G21" s="60"/>
      <c r="H21" s="60"/>
      <c r="I21" s="60"/>
      <c r="J21" s="60"/>
      <c r="K21" s="106"/>
      <c r="L21" s="132"/>
      <c r="M21" s="60"/>
      <c r="N21" s="442"/>
      <c r="O21" s="42"/>
      <c r="P21" s="73"/>
      <c r="Q21" s="43"/>
      <c r="R21" s="723"/>
      <c r="S21" s="241"/>
      <c r="U21" s="343"/>
      <c r="W21" s="314"/>
    </row>
    <row r="22" spans="2:30" s="246" customFormat="1" ht="15" customHeight="1">
      <c r="B22" s="242"/>
      <c r="C22" s="242"/>
      <c r="D22" s="243"/>
      <c r="E22" s="406"/>
      <c r="F22" s="406"/>
      <c r="G22" s="406"/>
      <c r="H22" s="406"/>
      <c r="I22" s="406"/>
      <c r="J22" s="60"/>
      <c r="K22" s="106"/>
      <c r="L22" s="243"/>
      <c r="M22" s="243"/>
      <c r="N22" s="243"/>
      <c r="O22" s="42"/>
      <c r="P22" s="245"/>
      <c r="Q22" s="395"/>
      <c r="R22" s="1206"/>
      <c r="S22" s="277"/>
      <c r="U22" s="412"/>
      <c r="W22" s="311"/>
    </row>
    <row r="23" spans="2:30" s="91" customFormat="1" ht="15" customHeight="1">
      <c r="B23" s="5" t="str">
        <f>Periode!B23</f>
        <v>Frank Stouthart</v>
      </c>
      <c r="C23" s="5" t="str">
        <f>Periode!G23</f>
        <v>32 (4wk)</v>
      </c>
      <c r="D23" s="61">
        <v>4</v>
      </c>
      <c r="E23" s="60">
        <v>30</v>
      </c>
      <c r="F23" s="60"/>
      <c r="G23" s="60"/>
      <c r="H23" s="60"/>
      <c r="I23" s="60"/>
      <c r="J23" s="60">
        <v>8</v>
      </c>
      <c r="K23" s="106">
        <f>(Periode!BB23*E23/40)+((F23+H23+I23)*Periode!BD23/40)+(J23*Periode!BF23/40)+(G23*Periode!BE23/40)</f>
        <v>666.36564000000021</v>
      </c>
      <c r="L23" s="615">
        <v>34</v>
      </c>
      <c r="M23" s="61">
        <f>-272+(6*34)+(2*37)</f>
        <v>6</v>
      </c>
      <c r="N23" s="136">
        <f>(L23*D23*2)+M23</f>
        <v>278</v>
      </c>
      <c r="O23" s="42">
        <f>((L23*2*D23)+M23)*0.28</f>
        <v>77.84</v>
      </c>
      <c r="P23" s="73"/>
      <c r="Q23" s="43">
        <f t="shared" ref="Q23" si="1">K23+O23+P23</f>
        <v>744.20564000000024</v>
      </c>
      <c r="R23" s="560" t="s">
        <v>484</v>
      </c>
      <c r="S23" s="241" t="s">
        <v>378</v>
      </c>
      <c r="U23" s="343"/>
      <c r="W23" s="314"/>
    </row>
    <row r="24" spans="2:30" s="91" customFormat="1" ht="15" customHeight="1">
      <c r="B24" s="5"/>
      <c r="C24" s="5"/>
      <c r="D24" s="61"/>
      <c r="E24" s="60"/>
      <c r="F24" s="60"/>
      <c r="G24" s="60"/>
      <c r="H24" s="60"/>
      <c r="I24" s="60"/>
      <c r="J24" s="60"/>
      <c r="K24" s="106"/>
      <c r="L24" s="132"/>
      <c r="M24" s="61"/>
      <c r="N24" s="136"/>
      <c r="O24" s="42"/>
      <c r="P24" s="73"/>
      <c r="Q24" s="43"/>
      <c r="R24" s="723"/>
      <c r="S24" s="241"/>
      <c r="U24" s="343"/>
      <c r="W24" s="314"/>
    </row>
    <row r="25" spans="2:30" s="91" customFormat="1" ht="15" customHeight="1">
      <c r="B25" s="5"/>
      <c r="C25" s="5"/>
      <c r="D25" s="61"/>
      <c r="E25" s="60"/>
      <c r="F25" s="60"/>
      <c r="G25" s="60"/>
      <c r="H25" s="60"/>
      <c r="I25" s="60"/>
      <c r="J25" s="60"/>
      <c r="K25" s="106"/>
      <c r="L25" s="132"/>
      <c r="M25" s="61"/>
      <c r="N25" s="136"/>
      <c r="O25" s="834"/>
      <c r="P25" s="73"/>
      <c r="Q25" s="43"/>
      <c r="R25" s="723"/>
      <c r="S25" s="241"/>
      <c r="U25" s="343"/>
      <c r="W25" s="314"/>
    </row>
    <row r="26" spans="2:30" s="91" customFormat="1" ht="15" customHeight="1">
      <c r="B26" s="5" t="str">
        <f>Periode!B26</f>
        <v>Roy Rubeling</v>
      </c>
      <c r="C26" s="5" t="str">
        <f>Periode!G26</f>
        <v>0</v>
      </c>
      <c r="D26" s="61">
        <v>3</v>
      </c>
      <c r="E26" s="60">
        <v>24</v>
      </c>
      <c r="F26" s="60"/>
      <c r="G26" s="60"/>
      <c r="H26" s="60"/>
      <c r="I26" s="60"/>
      <c r="J26" s="60">
        <v>8</v>
      </c>
      <c r="K26" s="106">
        <f>(Periode!BB26*E26/40)+((F26+H26+I26)*Periode!BD26/40)+(J26*Periode!BF26/40)+(G26*Periode!BE26/40)</f>
        <v>596.26260000000002</v>
      </c>
      <c r="L26" s="615">
        <v>61</v>
      </c>
      <c r="M26" s="61">
        <f>20+20+20</f>
        <v>60</v>
      </c>
      <c r="N26" s="136">
        <f>(L26*D26*2)+M26</f>
        <v>426</v>
      </c>
      <c r="O26" s="42">
        <f>((L26*2*D26)+M26)*0.28</f>
        <v>119.28000000000002</v>
      </c>
      <c r="P26" s="73"/>
      <c r="Q26" s="43">
        <f t="shared" ref="Q26" si="2">K26+O26+P26</f>
        <v>715.54259999999999</v>
      </c>
      <c r="R26" s="1207" t="s">
        <v>428</v>
      </c>
      <c r="S26" s="241" t="s">
        <v>390</v>
      </c>
      <c r="U26" s="343"/>
      <c r="W26" s="314"/>
    </row>
    <row r="27" spans="2:30" s="246" customFormat="1" ht="15" customHeight="1">
      <c r="B27" s="242"/>
      <c r="C27" s="242"/>
      <c r="D27" s="61"/>
      <c r="E27" s="60"/>
      <c r="F27" s="60"/>
      <c r="G27" s="60"/>
      <c r="H27" s="60"/>
      <c r="I27" s="60"/>
      <c r="J27" s="60"/>
      <c r="K27" s="106"/>
      <c r="L27" s="132"/>
      <c r="M27" s="61"/>
      <c r="N27" s="243"/>
      <c r="O27" s="835"/>
      <c r="P27" s="73"/>
      <c r="Q27" s="395"/>
      <c r="R27" s="1151" t="s">
        <v>469</v>
      </c>
      <c r="S27" s="277"/>
      <c r="U27" s="412"/>
    </row>
    <row r="28" spans="2:30" s="246" customFormat="1" ht="15" customHeight="1">
      <c r="B28" s="242"/>
      <c r="C28" s="242"/>
      <c r="D28" s="61"/>
      <c r="E28" s="60"/>
      <c r="F28" s="60"/>
      <c r="G28" s="60"/>
      <c r="H28" s="60"/>
      <c r="I28" s="60"/>
      <c r="J28" s="60"/>
      <c r="K28" s="106"/>
      <c r="L28" s="132"/>
      <c r="M28" s="61"/>
      <c r="N28" s="243"/>
      <c r="O28" s="42"/>
      <c r="P28" s="73"/>
      <c r="Q28" s="395"/>
      <c r="R28" s="722"/>
      <c r="S28" s="277"/>
      <c r="U28" s="412"/>
    </row>
    <row r="29" spans="2:30" s="91" customFormat="1" ht="15" customHeight="1">
      <c r="B29" s="5"/>
      <c r="C29" s="5"/>
      <c r="D29" s="61"/>
      <c r="E29" s="60"/>
      <c r="F29" s="60"/>
      <c r="G29" s="60"/>
      <c r="H29" s="60"/>
      <c r="I29" s="60"/>
      <c r="J29" s="60"/>
      <c r="K29" s="106"/>
      <c r="L29" s="132"/>
      <c r="M29" s="136"/>
      <c r="N29" s="136"/>
      <c r="O29" s="42"/>
      <c r="P29" s="73"/>
      <c r="Q29" s="43"/>
      <c r="R29" s="722"/>
      <c r="S29" s="241"/>
      <c r="U29" s="343"/>
    </row>
    <row r="30" spans="2:30" s="91" customFormat="1" ht="15" customHeight="1">
      <c r="B30" s="5"/>
      <c r="C30" s="5"/>
      <c r="D30" s="61"/>
      <c r="E30" s="60"/>
      <c r="F30" s="60"/>
      <c r="G30" s="60"/>
      <c r="H30" s="60"/>
      <c r="I30" s="60"/>
      <c r="J30" s="60"/>
      <c r="K30" s="106"/>
      <c r="L30" s="132"/>
      <c r="M30" s="61"/>
      <c r="N30" s="136"/>
      <c r="O30" s="42"/>
      <c r="P30" s="73"/>
      <c r="Q30" s="43"/>
      <c r="R30" s="1177"/>
      <c r="S30" s="241"/>
      <c r="U30" s="343"/>
    </row>
    <row r="31" spans="2:30" s="246" customFormat="1" ht="15" customHeight="1">
      <c r="B31" s="242"/>
      <c r="C31" s="242"/>
      <c r="D31" s="61"/>
      <c r="E31" s="60"/>
      <c r="F31" s="60"/>
      <c r="G31" s="60"/>
      <c r="H31" s="60"/>
      <c r="I31" s="60"/>
      <c r="J31" s="60"/>
      <c r="K31" s="106"/>
      <c r="L31" s="132"/>
      <c r="M31" s="61"/>
      <c r="N31" s="243"/>
      <c r="O31" s="42"/>
      <c r="P31" s="73"/>
      <c r="Q31" s="395"/>
      <c r="R31" s="814"/>
      <c r="S31" s="277"/>
      <c r="T31" s="246" t="s">
        <v>142</v>
      </c>
      <c r="U31" s="412"/>
    </row>
    <row r="32" spans="2:30" s="91" customFormat="1" ht="15" customHeight="1">
      <c r="B32" s="964"/>
      <c r="C32" s="5"/>
      <c r="D32" s="61"/>
      <c r="E32" s="60"/>
      <c r="F32" s="60"/>
      <c r="G32" s="60"/>
      <c r="H32" s="60"/>
      <c r="I32" s="60"/>
      <c r="J32" s="60"/>
      <c r="K32" s="106"/>
      <c r="L32" s="132"/>
      <c r="M32" s="136"/>
      <c r="N32" s="136"/>
      <c r="O32" s="42"/>
      <c r="P32" s="73"/>
      <c r="Q32" s="43"/>
      <c r="R32" s="1177"/>
      <c r="S32" s="241"/>
      <c r="U32" s="343"/>
    </row>
    <row r="33" spans="1:23" s="91" customFormat="1" ht="15" customHeight="1">
      <c r="B33" s="5" t="str">
        <f>Periode!B33</f>
        <v>Marco Govers</v>
      </c>
      <c r="C33" s="5" t="str">
        <f>Periode!G33</f>
        <v>32 (4wk)</v>
      </c>
      <c r="D33" s="61">
        <v>4</v>
      </c>
      <c r="E33" s="60">
        <v>30</v>
      </c>
      <c r="F33" s="60"/>
      <c r="G33" s="60"/>
      <c r="H33" s="60"/>
      <c r="I33" s="60">
        <v>2</v>
      </c>
      <c r="J33" s="60">
        <v>8</v>
      </c>
      <c r="K33" s="106">
        <f>(Periode!BB33*E33/40)+((F33+H33+I33)*Periode!BD33/40)+(J33*Periode!BF33/40)+(G33*Periode!BE33/40)</f>
        <v>770.47522500000002</v>
      </c>
      <c r="L33" s="132">
        <v>39</v>
      </c>
      <c r="M33" s="136"/>
      <c r="N33" s="136">
        <f>(L33*D33*2)+M33</f>
        <v>312</v>
      </c>
      <c r="O33" s="42">
        <f>((L33*2*D33)+M33)*0.28</f>
        <v>87.360000000000014</v>
      </c>
      <c r="P33" s="73"/>
      <c r="Q33" s="43">
        <f t="shared" ref="Q33" si="3">K33+O33+P33</f>
        <v>857.83522500000004</v>
      </c>
      <c r="R33" s="722" t="s">
        <v>488</v>
      </c>
      <c r="S33" s="241" t="s">
        <v>436</v>
      </c>
      <c r="U33" s="343"/>
    </row>
    <row r="34" spans="1:23" s="246" customFormat="1" ht="15" customHeight="1">
      <c r="B34" s="242"/>
      <c r="C34" s="242"/>
      <c r="D34" s="61"/>
      <c r="E34" s="60"/>
      <c r="F34" s="60"/>
      <c r="G34" s="60"/>
      <c r="H34" s="60"/>
      <c r="I34" s="60"/>
      <c r="J34" s="60"/>
      <c r="K34" s="106"/>
      <c r="L34" s="132"/>
      <c r="M34" s="61"/>
      <c r="N34" s="243"/>
      <c r="O34" s="42"/>
      <c r="P34" s="73"/>
      <c r="Q34" s="395"/>
      <c r="R34" s="1177"/>
      <c r="S34" s="277"/>
      <c r="U34" s="412"/>
    </row>
    <row r="35" spans="1:23" s="91" customFormat="1" ht="15" customHeight="1">
      <c r="B35" s="5" t="str">
        <f>Periode!B35</f>
        <v>Onno de Vries</v>
      </c>
      <c r="C35" s="5" t="str">
        <f>Periode!G35</f>
        <v>124 (4wk)</v>
      </c>
      <c r="D35" s="61">
        <v>4</v>
      </c>
      <c r="E35" s="60">
        <v>32</v>
      </c>
      <c r="F35" s="60"/>
      <c r="G35" s="60"/>
      <c r="H35" s="60"/>
      <c r="I35" s="60"/>
      <c r="J35" s="60">
        <v>8</v>
      </c>
      <c r="K35" s="106">
        <f>(Periode!BB35*E35/40)+((F35+H35+I35)*Periode!BD35/40)+(J35*Periode!BF35/40)+(G35*Periode!BE35/40)</f>
        <v>629.85089000000005</v>
      </c>
      <c r="L35" s="132">
        <v>10</v>
      </c>
      <c r="M35" s="61"/>
      <c r="N35" s="136">
        <f>(L35*D35*2)+M35</f>
        <v>80</v>
      </c>
      <c r="O35" s="42">
        <f>((L35*2*D35)+M35)*0.28</f>
        <v>22.400000000000002</v>
      </c>
      <c r="P35" s="73"/>
      <c r="Q35" s="43">
        <f t="shared" ref="Q35" si="4">K35+O35+P35</f>
        <v>652.25089000000003</v>
      </c>
      <c r="R35" s="560" t="s">
        <v>484</v>
      </c>
      <c r="S35" s="241" t="s">
        <v>185</v>
      </c>
      <c r="U35" s="343"/>
    </row>
    <row r="36" spans="1:23" s="246" customFormat="1" ht="15" customHeight="1">
      <c r="B36" s="242"/>
      <c r="C36" s="242"/>
      <c r="D36" s="61"/>
      <c r="E36" s="60"/>
      <c r="F36" s="60"/>
      <c r="G36" s="60"/>
      <c r="H36" s="60"/>
      <c r="I36" s="60"/>
      <c r="J36" s="60"/>
      <c r="K36" s="106"/>
      <c r="L36" s="132"/>
      <c r="M36" s="61"/>
      <c r="N36" s="243"/>
      <c r="O36" s="42"/>
      <c r="P36" s="73"/>
      <c r="Q36" s="395"/>
      <c r="R36" s="1208"/>
      <c r="S36" s="277"/>
      <c r="U36" s="412"/>
    </row>
    <row r="37" spans="1:23" s="246" customFormat="1" ht="15" customHeight="1">
      <c r="B37" s="242"/>
      <c r="C37" s="242"/>
      <c r="D37" s="61"/>
      <c r="E37" s="60"/>
      <c r="F37" s="60"/>
      <c r="G37" s="60"/>
      <c r="H37" s="60"/>
      <c r="I37" s="60"/>
      <c r="J37" s="60"/>
      <c r="K37" s="106"/>
      <c r="L37" s="132"/>
      <c r="M37" s="61"/>
      <c r="N37" s="243"/>
      <c r="O37" s="42"/>
      <c r="P37" s="73"/>
      <c r="Q37" s="395"/>
      <c r="R37" s="1208"/>
      <c r="S37" s="277"/>
      <c r="U37" s="412"/>
    </row>
    <row r="38" spans="1:23" s="91" customFormat="1" ht="14.25" customHeight="1">
      <c r="B38" s="5"/>
      <c r="C38" s="5"/>
      <c r="D38" s="61"/>
      <c r="E38" s="60"/>
      <c r="F38" s="60"/>
      <c r="G38" s="60"/>
      <c r="H38" s="60"/>
      <c r="I38" s="60"/>
      <c r="J38" s="60"/>
      <c r="K38" s="106"/>
      <c r="L38" s="132"/>
      <c r="M38" s="61"/>
      <c r="N38" s="136"/>
      <c r="O38" s="42"/>
      <c r="P38" s="73"/>
      <c r="Q38" s="43"/>
      <c r="R38" s="722"/>
      <c r="S38" s="241"/>
      <c r="U38" s="343"/>
    </row>
    <row r="39" spans="1:23" s="91" customFormat="1" ht="15" customHeight="1">
      <c r="B39" s="5" t="str">
        <f>Periode!B39</f>
        <v>Jan Levering</v>
      </c>
      <c r="C39" s="5" t="str">
        <f>Periode!G39</f>
        <v>32 (4wk)</v>
      </c>
      <c r="D39" s="61"/>
      <c r="E39" s="60"/>
      <c r="F39" s="60"/>
      <c r="G39" s="60"/>
      <c r="H39" s="235"/>
      <c r="I39" s="235"/>
      <c r="J39" s="235"/>
      <c r="K39" s="106">
        <f>(Periode!BB39*E39/40)+((F39+H39+I39)*Periode!BD39/40)+(J39*Periode!BF39/40)+(G39*Periode!BE39/40)</f>
        <v>0</v>
      </c>
      <c r="L39" s="136"/>
      <c r="M39" s="136"/>
      <c r="N39" s="136"/>
      <c r="O39" s="42"/>
      <c r="P39" s="73">
        <v>143.37</v>
      </c>
      <c r="Q39" s="43">
        <f>K39+O39+P39</f>
        <v>143.37</v>
      </c>
      <c r="R39" s="563" t="s">
        <v>470</v>
      </c>
      <c r="S39" s="241" t="s">
        <v>186</v>
      </c>
      <c r="T39" s="674"/>
      <c r="U39" s="673"/>
    </row>
    <row r="40" spans="1:23" s="87" customFormat="1" ht="15" customHeight="1">
      <c r="A40" s="246"/>
      <c r="B40" s="172"/>
      <c r="C40" s="172"/>
      <c r="D40" s="61"/>
      <c r="E40" s="60"/>
      <c r="F40" s="60"/>
      <c r="G40" s="60"/>
      <c r="H40" s="60"/>
      <c r="I40" s="60"/>
      <c r="J40" s="60"/>
      <c r="K40" s="106"/>
      <c r="L40" s="132"/>
      <c r="M40" s="61"/>
      <c r="N40" s="243"/>
      <c r="O40" s="42"/>
      <c r="P40" s="73"/>
      <c r="Q40" s="395"/>
      <c r="R40" s="1151"/>
      <c r="S40" s="409"/>
      <c r="T40" s="343"/>
      <c r="U40" s="390"/>
    </row>
    <row r="41" spans="1:23" s="87" customFormat="1" ht="15" customHeight="1">
      <c r="A41" s="246"/>
      <c r="B41" s="172"/>
      <c r="C41" s="172"/>
      <c r="D41" s="61"/>
      <c r="E41" s="60"/>
      <c r="F41" s="60"/>
      <c r="G41" s="60"/>
      <c r="H41" s="60"/>
      <c r="I41" s="60"/>
      <c r="J41" s="60"/>
      <c r="K41" s="106"/>
      <c r="L41" s="132"/>
      <c r="M41" s="61"/>
      <c r="N41" s="243"/>
      <c r="O41" s="42"/>
      <c r="P41" s="73"/>
      <c r="Q41" s="395"/>
      <c r="R41" s="1151"/>
      <c r="S41" s="390"/>
      <c r="U41" s="409"/>
    </row>
    <row r="42" spans="1:23" s="91" customFormat="1" ht="15" customHeight="1">
      <c r="B42" s="5" t="str">
        <f>Periode!B42</f>
        <v>Alex van der Laan</v>
      </c>
      <c r="C42" s="5" t="str">
        <f>Periode!G42</f>
        <v>32 (wk)</v>
      </c>
      <c r="D42" s="61"/>
      <c r="E42" s="60"/>
      <c r="F42" s="60">
        <v>24</v>
      </c>
      <c r="G42" s="60"/>
      <c r="H42" s="60"/>
      <c r="I42" s="60">
        <v>8</v>
      </c>
      <c r="J42" s="60">
        <v>8</v>
      </c>
      <c r="K42" s="106">
        <f>(Periode!BB42*E42/40)+((F42+H42+I42)*Periode!BD42/40)+(J42*Periode!BF42/40)+(G42*Periode!BE42/40)</f>
        <v>655.82549999999992</v>
      </c>
      <c r="L42" s="132"/>
      <c r="M42" s="61"/>
      <c r="N42" s="136"/>
      <c r="O42" s="42"/>
      <c r="P42" s="73"/>
      <c r="Q42" s="43">
        <f>K42+O42+P42</f>
        <v>655.82549999999992</v>
      </c>
      <c r="R42" s="560" t="s">
        <v>508</v>
      </c>
      <c r="S42" s="241" t="s">
        <v>135</v>
      </c>
      <c r="U42" s="343"/>
    </row>
    <row r="43" spans="1:23" s="262" customFormat="1" ht="15" customHeight="1" thickBot="1">
      <c r="A43" s="246"/>
      <c r="B43" s="5"/>
      <c r="C43" s="5"/>
      <c r="D43" s="61"/>
      <c r="E43" s="60"/>
      <c r="F43" s="60"/>
      <c r="G43" s="60"/>
      <c r="H43" s="60"/>
      <c r="I43" s="60"/>
      <c r="J43" s="60"/>
      <c r="K43" s="106"/>
      <c r="L43" s="132"/>
      <c r="M43" s="61"/>
      <c r="N43" s="243"/>
      <c r="O43" s="42"/>
      <c r="P43" s="73"/>
      <c r="Q43" s="395"/>
      <c r="R43" s="1226" t="s">
        <v>446</v>
      </c>
      <c r="S43" s="397"/>
      <c r="U43" s="414"/>
    </row>
    <row r="44" spans="1:23" s="91" customFormat="1" ht="15" customHeight="1">
      <c r="B44" s="5"/>
      <c r="C44" s="5"/>
      <c r="D44" s="61"/>
      <c r="E44" s="60"/>
      <c r="F44" s="235"/>
      <c r="G44" s="235"/>
      <c r="H44" s="235"/>
      <c r="I44" s="235"/>
      <c r="J44" s="235"/>
      <c r="K44" s="106"/>
      <c r="L44" s="132"/>
      <c r="M44" s="61"/>
      <c r="N44" s="136"/>
      <c r="O44" s="42"/>
      <c r="P44" s="73"/>
      <c r="Q44" s="43"/>
      <c r="R44" s="962">
        <f>K46</f>
        <v>463.9453125</v>
      </c>
      <c r="S44" s="878" t="s">
        <v>175</v>
      </c>
      <c r="T44" s="825"/>
      <c r="U44" s="826"/>
      <c r="V44" s="825"/>
      <c r="W44" s="827"/>
    </row>
    <row r="45" spans="1:23" s="91" customFormat="1" ht="15" customHeight="1">
      <c r="B45" s="5"/>
      <c r="C45" s="5"/>
      <c r="D45" s="61"/>
      <c r="E45" s="60"/>
      <c r="F45" s="235"/>
      <c r="G45" s="235"/>
      <c r="H45" s="235"/>
      <c r="I45" s="235"/>
      <c r="J45" s="235"/>
      <c r="K45" s="106"/>
      <c r="L45" s="132"/>
      <c r="M45" s="61"/>
      <c r="N45" s="136"/>
      <c r="O45" s="42"/>
      <c r="P45" s="73"/>
      <c r="Q45" s="43"/>
      <c r="R45" s="962" t="s">
        <v>486</v>
      </c>
      <c r="S45" s="676" t="s">
        <v>151</v>
      </c>
      <c r="U45" s="343"/>
      <c r="W45" s="858"/>
    </row>
    <row r="46" spans="1:23" s="87" customFormat="1" ht="15" customHeight="1" thickBot="1">
      <c r="A46" s="91"/>
      <c r="B46" s="5" t="str">
        <f>Periode!B46</f>
        <v>Shafieq Asgarali</v>
      </c>
      <c r="C46" s="5" t="str">
        <f>Periode!G46</f>
        <v>32 (4wk)</v>
      </c>
      <c r="D46" s="61">
        <v>4</v>
      </c>
      <c r="E46" s="60">
        <v>30</v>
      </c>
      <c r="F46" s="60"/>
      <c r="G46" s="60"/>
      <c r="H46" s="60"/>
      <c r="I46" s="235"/>
      <c r="J46" s="60">
        <v>7.5</v>
      </c>
      <c r="K46" s="106">
        <f>(Periode!BB46*E46/40)+((F46+H46+I46)*Periode!BD46/40)+(J46*Periode!BF46/40)+(G46*Periode!BE46/40)</f>
        <v>463.9453125</v>
      </c>
      <c r="L46" s="132"/>
      <c r="M46" s="61"/>
      <c r="N46" s="136"/>
      <c r="O46" s="42"/>
      <c r="P46" s="1146">
        <f>(D46*Periode!AY46)</f>
        <v>46.6</v>
      </c>
      <c r="Q46" s="43">
        <f>K46+O46+P46</f>
        <v>510.54531250000002</v>
      </c>
      <c r="R46" s="962">
        <f>P46</f>
        <v>46.6</v>
      </c>
      <c r="S46" s="877" t="s">
        <v>258</v>
      </c>
      <c r="T46" s="671"/>
      <c r="U46" s="672"/>
      <c r="V46" s="671"/>
      <c r="W46" s="859"/>
    </row>
    <row r="47" spans="1:23" s="87" customFormat="1" ht="15" customHeight="1" thickBot="1">
      <c r="B47" s="130"/>
      <c r="C47" s="5"/>
      <c r="D47" s="61"/>
      <c r="E47" s="60"/>
      <c r="F47" s="60"/>
      <c r="G47" s="60"/>
      <c r="H47" s="60"/>
      <c r="I47" s="60"/>
      <c r="J47" s="60"/>
      <c r="K47" s="106"/>
      <c r="L47" s="132"/>
      <c r="M47" s="61"/>
      <c r="N47" s="61"/>
      <c r="O47" s="42"/>
      <c r="P47" s="396"/>
      <c r="Q47" s="43"/>
      <c r="R47" s="960" t="s">
        <v>447</v>
      </c>
      <c r="S47" s="676"/>
      <c r="T47" s="854"/>
      <c r="U47" s="855"/>
      <c r="V47" s="854"/>
      <c r="W47" s="854"/>
    </row>
    <row r="48" spans="1:23" s="91" customFormat="1" ht="15" customHeight="1">
      <c r="B48" s="5" t="str">
        <f>Periode!B48</f>
        <v>Sander van den Hoek</v>
      </c>
      <c r="C48" s="5" t="str">
        <f>Periode!G48</f>
        <v>32 (wk)</v>
      </c>
      <c r="D48" s="61"/>
      <c r="E48" s="60"/>
      <c r="F48" s="60"/>
      <c r="G48" s="60">
        <f>(5*7.4)*0.9</f>
        <v>33.300000000000004</v>
      </c>
      <c r="H48" s="60"/>
      <c r="I48" s="60"/>
      <c r="J48" s="60"/>
      <c r="K48" s="106">
        <f>(Periode!BB48*E48/40)+((F48+H48+I48)*Periode!BD48/40)+(J48*Periode!BF48/40)+(G48*Periode!BE48/40)</f>
        <v>478.62506250000013</v>
      </c>
      <c r="L48" s="132">
        <v>28</v>
      </c>
      <c r="M48" s="136"/>
      <c r="N48" s="136">
        <f>(L48*D48*2)+M48</f>
        <v>0</v>
      </c>
      <c r="O48" s="561">
        <f>((L48*2*D48)+M48)*0.25</f>
        <v>0</v>
      </c>
      <c r="P48" s="1146">
        <f>(D48*Periode!AY48)</f>
        <v>0</v>
      </c>
      <c r="Q48" s="43">
        <f>K48+O48+P48+P49</f>
        <v>478.62506250000013</v>
      </c>
      <c r="R48" s="961">
        <f>'WK21'!R48-K48</f>
        <v>243.67295192307665</v>
      </c>
      <c r="S48" s="878" t="s">
        <v>257</v>
      </c>
      <c r="T48" s="825"/>
      <c r="U48" s="826"/>
      <c r="V48" s="825"/>
      <c r="W48" s="827"/>
    </row>
    <row r="49" spans="2:30" s="87" customFormat="1" ht="15" customHeight="1">
      <c r="B49" s="172"/>
      <c r="C49" s="172"/>
      <c r="D49" s="61"/>
      <c r="E49" s="60"/>
      <c r="F49" s="60"/>
      <c r="G49" s="60"/>
      <c r="H49" s="60"/>
      <c r="I49" s="60"/>
      <c r="J49" s="60"/>
      <c r="K49" s="106"/>
      <c r="L49" s="132"/>
      <c r="M49" s="61"/>
      <c r="N49" s="61"/>
      <c r="O49" s="42"/>
      <c r="P49" s="73"/>
      <c r="Q49" s="389"/>
      <c r="R49" s="962" t="s">
        <v>493</v>
      </c>
      <c r="S49" s="676" t="s">
        <v>247</v>
      </c>
      <c r="T49" s="854"/>
      <c r="U49" s="855"/>
      <c r="V49" s="854"/>
      <c r="W49" s="959"/>
    </row>
    <row r="50" spans="2:30" s="262" customFormat="1" ht="15" customHeight="1" thickBot="1">
      <c r="B50" s="172">
        <f>Periode!B50</f>
        <v>0</v>
      </c>
      <c r="C50" s="172">
        <f>Periode!G50</f>
        <v>0</v>
      </c>
      <c r="D50" s="205"/>
      <c r="E50" s="259"/>
      <c r="F50" s="259"/>
      <c r="G50" s="259"/>
      <c r="H50" s="259"/>
      <c r="I50" s="259"/>
      <c r="J50" s="259"/>
      <c r="K50" s="106"/>
      <c r="L50" s="205"/>
      <c r="M50" s="205"/>
      <c r="N50" s="205"/>
      <c r="O50" s="42"/>
      <c r="P50" s="261"/>
      <c r="Q50" s="304"/>
      <c r="R50" s="963">
        <f>Q48</f>
        <v>478.62506250000013</v>
      </c>
      <c r="S50" s="877" t="s">
        <v>248</v>
      </c>
      <c r="T50" s="671"/>
      <c r="U50" s="672"/>
      <c r="V50" s="671"/>
      <c r="W50" s="859"/>
    </row>
    <row r="51" spans="2:30" s="91" customFormat="1" ht="15" customHeight="1">
      <c r="B51" s="5"/>
      <c r="C51" s="5"/>
      <c r="D51" s="61"/>
      <c r="E51" s="60"/>
      <c r="F51" s="60"/>
      <c r="G51" s="60"/>
      <c r="H51" s="60"/>
      <c r="I51" s="60"/>
      <c r="J51" s="60"/>
      <c r="K51" s="106"/>
      <c r="L51" s="132"/>
      <c r="M51" s="136"/>
      <c r="N51" s="136"/>
      <c r="O51" s="42"/>
      <c r="P51" s="73"/>
      <c r="Q51" s="43"/>
      <c r="R51" s="560"/>
      <c r="S51" s="241"/>
      <c r="U51" s="343"/>
    </row>
    <row r="52" spans="2:30" s="91" customFormat="1" ht="15" customHeight="1">
      <c r="B52" s="130"/>
      <c r="C52" s="5"/>
      <c r="D52" s="61"/>
      <c r="E52" s="60"/>
      <c r="F52" s="60"/>
      <c r="G52" s="235"/>
      <c r="H52" s="235"/>
      <c r="I52" s="235"/>
      <c r="J52" s="60"/>
      <c r="K52" s="106"/>
      <c r="L52" s="136"/>
      <c r="M52" s="136"/>
      <c r="N52" s="136"/>
      <c r="O52" s="42"/>
      <c r="P52" s="42"/>
      <c r="Q52" s="43"/>
      <c r="R52" s="971"/>
      <c r="S52" s="241"/>
      <c r="U52" s="343"/>
      <c r="AA52" s="87"/>
      <c r="AB52" s="87"/>
      <c r="AC52" s="87"/>
      <c r="AD52" s="87"/>
    </row>
    <row r="53" spans="2:30" s="91" customFormat="1" ht="15" customHeight="1">
      <c r="B53" s="5" t="str">
        <f>Periode!B53</f>
        <v>Ronald van Maanen</v>
      </c>
      <c r="C53" s="5" t="str">
        <f>Periode!G53</f>
        <v>32 (4wk)</v>
      </c>
      <c r="D53" s="61">
        <v>4</v>
      </c>
      <c r="E53" s="60">
        <v>32</v>
      </c>
      <c r="F53" s="60"/>
      <c r="G53" s="60"/>
      <c r="H53" s="60"/>
      <c r="I53" s="60"/>
      <c r="J53" s="60">
        <v>8</v>
      </c>
      <c r="K53" s="106">
        <f>(Periode!BB53*E53/40)+((F53+H53+I53)*Periode!BD53/40)+(J53*Periode!BF53/40)+(G53*Periode!BE53/40)</f>
        <v>728.59570000000008</v>
      </c>
      <c r="L53" s="132">
        <v>49</v>
      </c>
      <c r="M53" s="136"/>
      <c r="N53" s="136">
        <f>(L53*D53*2)+M53</f>
        <v>392</v>
      </c>
      <c r="O53" s="42">
        <f>((L53*2*D53)+M53)*0.28</f>
        <v>109.76</v>
      </c>
      <c r="P53" s="73"/>
      <c r="Q53" s="43">
        <f t="shared" ref="Q53" si="5">K53+O53+P53</f>
        <v>838.35570000000007</v>
      </c>
      <c r="R53" s="722" t="s">
        <v>484</v>
      </c>
      <c r="S53" s="241" t="s">
        <v>392</v>
      </c>
      <c r="U53" s="343"/>
    </row>
    <row r="54" spans="2:30" s="87" customFormat="1" ht="15" customHeight="1">
      <c r="B54" s="172">
        <f>Periode!B75</f>
        <v>0</v>
      </c>
      <c r="C54" s="172">
        <f>Periode!H75</f>
        <v>0</v>
      </c>
      <c r="D54" s="61"/>
      <c r="E54" s="60"/>
      <c r="F54" s="60"/>
      <c r="G54" s="60"/>
      <c r="H54" s="60"/>
      <c r="I54" s="60"/>
      <c r="J54" s="60"/>
      <c r="K54" s="106"/>
      <c r="L54" s="132"/>
      <c r="M54" s="61"/>
      <c r="N54" s="61"/>
      <c r="O54" s="42"/>
      <c r="P54" s="73"/>
      <c r="Q54" s="389"/>
      <c r="R54" s="814"/>
      <c r="S54" s="407"/>
      <c r="U54" s="409"/>
    </row>
    <row r="55" spans="2:30" s="87" customFormat="1" ht="15" customHeight="1">
      <c r="B55" s="172">
        <f>Periode!B76</f>
        <v>0</v>
      </c>
      <c r="C55" s="172">
        <f>Periode!H76</f>
        <v>0</v>
      </c>
      <c r="D55" s="61"/>
      <c r="E55" s="60"/>
      <c r="F55" s="60"/>
      <c r="G55" s="60"/>
      <c r="H55" s="60"/>
      <c r="I55" s="60"/>
      <c r="J55" s="60"/>
      <c r="K55" s="106"/>
      <c r="L55" s="132"/>
      <c r="M55" s="61"/>
      <c r="N55" s="61"/>
      <c r="O55" s="42"/>
      <c r="P55" s="73"/>
      <c r="Q55" s="389"/>
      <c r="R55" s="813"/>
      <c r="S55" s="407"/>
      <c r="U55" s="409"/>
    </row>
    <row r="56" spans="2:30" s="91" customFormat="1" ht="15" customHeight="1">
      <c r="B56" s="5"/>
      <c r="C56" s="5"/>
      <c r="D56" s="61"/>
      <c r="E56" s="60"/>
      <c r="F56" s="235"/>
      <c r="G56" s="235"/>
      <c r="H56" s="235"/>
      <c r="I56" s="235"/>
      <c r="J56" s="60"/>
      <c r="K56" s="106"/>
      <c r="L56" s="132"/>
      <c r="M56" s="136"/>
      <c r="N56" s="136"/>
      <c r="O56" s="42"/>
      <c r="P56" s="73"/>
      <c r="Q56" s="43"/>
      <c r="R56" s="723"/>
      <c r="S56" s="241"/>
      <c r="U56" s="343"/>
    </row>
    <row r="57" spans="2:30" s="91" customFormat="1" ht="15" customHeight="1">
      <c r="B57" s="5" t="str">
        <f>Periode!B57</f>
        <v>Erik Visser</v>
      </c>
      <c r="C57" s="5" t="str">
        <f>Periode!G57</f>
        <v>32 (4wk)</v>
      </c>
      <c r="D57" s="61">
        <v>4</v>
      </c>
      <c r="E57" s="60">
        <v>29.5</v>
      </c>
      <c r="F57" s="60"/>
      <c r="G57" s="60"/>
      <c r="H57" s="60"/>
      <c r="I57" s="60"/>
      <c r="J57" s="60">
        <v>8</v>
      </c>
      <c r="K57" s="106">
        <f>(Periode!BB57*E57/40)+((F57+H57+I57)*Periode!BD57/40)+(J57*Periode!BF57/40)+(G57*Periode!BE57/40)</f>
        <v>522.23242000000005</v>
      </c>
      <c r="L57" s="132">
        <v>14</v>
      </c>
      <c r="M57" s="136">
        <f>70+70+70+30</f>
        <v>240</v>
      </c>
      <c r="N57" s="136">
        <f>(L57*D57*2)+M57</f>
        <v>352</v>
      </c>
      <c r="O57" s="1190">
        <f>((L57*2*D57))*0.25+(M57*0.28)</f>
        <v>95.2</v>
      </c>
      <c r="P57" s="73">
        <f>(140*0.02)+37.38</f>
        <v>40.18</v>
      </c>
      <c r="Q57" s="43">
        <f t="shared" ref="Q57" si="6">K57+O57+P57</f>
        <v>657.61242000000004</v>
      </c>
      <c r="R57" s="971" t="s">
        <v>485</v>
      </c>
      <c r="S57" s="241" t="s">
        <v>419</v>
      </c>
      <c r="U57" s="343"/>
    </row>
    <row r="58" spans="2:30">
      <c r="J58" s="62"/>
      <c r="K58" s="106"/>
      <c r="Q58" s="1198"/>
      <c r="R58" s="971" t="s">
        <v>494</v>
      </c>
      <c r="S58" s="407" t="s">
        <v>438</v>
      </c>
    </row>
    <row r="59" spans="2:30" s="91" customFormat="1" ht="15" customHeight="1">
      <c r="B59" s="242">
        <f>Periode!B59</f>
        <v>0</v>
      </c>
      <c r="C59" s="242">
        <f>Periode!G59</f>
        <v>0</v>
      </c>
      <c r="D59" s="243"/>
      <c r="E59" s="406"/>
      <c r="F59" s="406"/>
      <c r="G59" s="406"/>
      <c r="H59" s="406"/>
      <c r="I59" s="406"/>
      <c r="J59" s="406"/>
      <c r="K59" s="244">
        <f>(Periode!BB59*E59/40)+((F59+H59+I59)*Periode!BD59/40)+(J59*Periode!BF59/40)+(G59*Periode!BE59/40)</f>
        <v>0</v>
      </c>
      <c r="L59" s="132"/>
      <c r="M59" s="243"/>
      <c r="N59" s="243"/>
      <c r="O59" s="42"/>
      <c r="P59" s="245"/>
      <c r="Q59" s="395">
        <f>K59+O59+P59</f>
        <v>0</v>
      </c>
      <c r="R59" s="722"/>
      <c r="S59" s="241"/>
      <c r="U59" s="343"/>
    </row>
    <row r="60" spans="2:30" s="91" customFormat="1" ht="15" customHeight="1">
      <c r="B60" s="5"/>
      <c r="C60" s="5"/>
      <c r="D60" s="61"/>
      <c r="E60" s="60"/>
      <c r="F60" s="60"/>
      <c r="G60" s="60"/>
      <c r="H60" s="60"/>
      <c r="I60" s="60"/>
      <c r="J60" s="60"/>
      <c r="K60" s="106"/>
      <c r="L60" s="132"/>
      <c r="M60" s="136"/>
      <c r="N60" s="136"/>
      <c r="O60" s="42"/>
      <c r="P60" s="73"/>
      <c r="Q60" s="43"/>
      <c r="R60" s="1226" t="s">
        <v>446</v>
      </c>
      <c r="S60" s="241"/>
      <c r="U60" s="343"/>
    </row>
    <row r="61" spans="2:30" s="87" customFormat="1" ht="15" customHeight="1">
      <c r="B61" s="172">
        <f>Periode!B61</f>
        <v>0</v>
      </c>
      <c r="C61" s="172"/>
      <c r="D61" s="61"/>
      <c r="E61" s="60"/>
      <c r="F61" s="60"/>
      <c r="G61" s="60"/>
      <c r="H61" s="60"/>
      <c r="I61" s="60"/>
      <c r="J61" s="60"/>
      <c r="K61" s="106"/>
      <c r="L61" s="112"/>
      <c r="M61" s="112"/>
      <c r="N61" s="112"/>
      <c r="O61" s="42"/>
      <c r="P61" s="73"/>
      <c r="Q61" s="389"/>
      <c r="R61" s="1227">
        <f>K63</f>
        <v>463.9453125</v>
      </c>
      <c r="S61" s="407"/>
      <c r="U61" s="409"/>
    </row>
    <row r="62" spans="2:30" s="87" customFormat="1" ht="15" customHeight="1">
      <c r="B62" s="172">
        <f>Periode!B62</f>
        <v>0</v>
      </c>
      <c r="C62" s="5"/>
      <c r="D62" s="61"/>
      <c r="E62" s="60"/>
      <c r="F62" s="235"/>
      <c r="G62" s="235"/>
      <c r="H62" s="235"/>
      <c r="I62" s="235"/>
      <c r="J62" s="60"/>
      <c r="K62" s="106"/>
      <c r="L62" s="112"/>
      <c r="M62" s="112"/>
      <c r="N62" s="112"/>
      <c r="O62" s="42"/>
      <c r="P62" s="73"/>
      <c r="Q62" s="389"/>
      <c r="R62" s="1227" t="s">
        <v>453</v>
      </c>
      <c r="S62" s="407"/>
      <c r="U62" s="409"/>
    </row>
    <row r="63" spans="2:30" s="91" customFormat="1" ht="15" customHeight="1">
      <c r="B63" s="5" t="str">
        <f>Periode!B63</f>
        <v>Youri Nouwens</v>
      </c>
      <c r="C63" s="5" t="str">
        <f>Periode!G63</f>
        <v>32 (4wk)</v>
      </c>
      <c r="D63" s="61"/>
      <c r="E63" s="60">
        <v>37.5</v>
      </c>
      <c r="F63" s="60"/>
      <c r="G63" s="60"/>
      <c r="H63" s="235"/>
      <c r="I63" s="60"/>
      <c r="J63" s="60"/>
      <c r="K63" s="106">
        <f>(Periode!BB63*E63/40)+((F63+H63+I63)*Periode!BD63/40)+(J63*Periode!BF63/40)+(G63*Periode!BE63/40)</f>
        <v>463.9453125</v>
      </c>
      <c r="L63" s="132"/>
      <c r="M63" s="136"/>
      <c r="N63" s="136"/>
      <c r="O63" s="42"/>
      <c r="P63" s="1146">
        <f>(D63*Periode!AY63)</f>
        <v>0</v>
      </c>
      <c r="Q63" s="43">
        <f t="shared" ref="Q63" si="7">K63+O63+P63</f>
        <v>463.9453125</v>
      </c>
      <c r="R63" s="962">
        <f>P63</f>
        <v>0</v>
      </c>
      <c r="S63" s="241" t="s">
        <v>158</v>
      </c>
      <c r="U63" s="343"/>
    </row>
    <row r="64" spans="2:30" s="87" customFormat="1" ht="15" customHeight="1">
      <c r="B64" s="172">
        <f>Periode!B64</f>
        <v>0</v>
      </c>
      <c r="C64" s="172"/>
      <c r="D64" s="61"/>
      <c r="E64" s="60"/>
      <c r="F64" s="60"/>
      <c r="G64" s="60"/>
      <c r="H64" s="60"/>
      <c r="I64" s="60"/>
      <c r="J64" s="60"/>
      <c r="K64" s="106"/>
      <c r="L64" s="132"/>
      <c r="M64" s="61"/>
      <c r="N64" s="61"/>
      <c r="O64" s="42"/>
      <c r="P64" s="73"/>
      <c r="Q64" s="389"/>
      <c r="R64" s="1232" t="s">
        <v>495</v>
      </c>
      <c r="S64" s="676" t="s">
        <v>159</v>
      </c>
      <c r="T64" s="91"/>
      <c r="U64" s="91"/>
      <c r="V64" s="91"/>
      <c r="W64" s="91"/>
      <c r="X64" s="91"/>
      <c r="Y64" s="91"/>
    </row>
    <row r="65" spans="2:25" s="91" customFormat="1" ht="15" customHeight="1">
      <c r="B65" s="5"/>
      <c r="C65" s="5"/>
      <c r="D65" s="61"/>
      <c r="E65" s="60"/>
      <c r="F65" s="235"/>
      <c r="G65" s="235"/>
      <c r="H65" s="235"/>
      <c r="I65" s="235"/>
      <c r="J65" s="469"/>
      <c r="K65" s="106"/>
      <c r="L65" s="132"/>
      <c r="M65" s="136"/>
      <c r="N65" s="136"/>
      <c r="O65" s="42"/>
      <c r="P65" s="42"/>
      <c r="Q65" s="43"/>
      <c r="R65" s="722"/>
      <c r="S65" s="676" t="s">
        <v>160</v>
      </c>
      <c r="T65" s="87"/>
      <c r="U65" s="87"/>
      <c r="V65" s="87"/>
      <c r="W65" s="87"/>
      <c r="X65" s="87"/>
      <c r="Y65" s="87"/>
    </row>
    <row r="66" spans="2:25" s="91" customFormat="1" ht="15" customHeight="1">
      <c r="B66" s="5"/>
      <c r="C66" s="5"/>
      <c r="D66" s="61"/>
      <c r="E66" s="60"/>
      <c r="F66" s="60"/>
      <c r="G66" s="60"/>
      <c r="H66" s="235"/>
      <c r="I66" s="235"/>
      <c r="J66" s="60"/>
      <c r="K66" s="106"/>
      <c r="L66" s="132"/>
      <c r="M66" s="136"/>
      <c r="N66" s="136"/>
      <c r="O66" s="42"/>
      <c r="P66" s="73"/>
      <c r="Q66" s="43"/>
      <c r="R66" s="722"/>
      <c r="S66" s="241"/>
      <c r="U66" s="343"/>
    </row>
    <row r="67" spans="2:25" s="91" customFormat="1" ht="15" customHeight="1">
      <c r="B67" s="5"/>
      <c r="C67" s="5"/>
      <c r="D67" s="61"/>
      <c r="E67" s="60"/>
      <c r="F67" s="60"/>
      <c r="G67" s="235"/>
      <c r="H67" s="235"/>
      <c r="I67" s="235"/>
      <c r="J67" s="235"/>
      <c r="K67" s="106"/>
      <c r="L67" s="136"/>
      <c r="M67" s="136"/>
      <c r="N67" s="136"/>
      <c r="O67" s="42"/>
      <c r="P67" s="73"/>
      <c r="Q67" s="43"/>
      <c r="R67" s="722"/>
      <c r="S67" s="390"/>
      <c r="U67" s="343"/>
    </row>
    <row r="68" spans="2:25" s="262" customFormat="1" ht="15" customHeight="1">
      <c r="B68" s="172">
        <f>Periode!B68</f>
        <v>0</v>
      </c>
      <c r="C68" s="172"/>
      <c r="D68" s="205"/>
      <c r="E68" s="259"/>
      <c r="F68" s="259"/>
      <c r="G68" s="259"/>
      <c r="H68" s="259"/>
      <c r="I68" s="259"/>
      <c r="J68" s="259"/>
      <c r="K68" s="106"/>
      <c r="L68" s="205">
        <v>52</v>
      </c>
      <c r="M68" s="205"/>
      <c r="N68" s="205">
        <f>(L68*D68*2)+M68</f>
        <v>0</v>
      </c>
      <c r="O68" s="42"/>
      <c r="P68" s="261"/>
      <c r="Q68" s="304">
        <f>K68+O68+P68</f>
        <v>0</v>
      </c>
      <c r="R68" s="722"/>
      <c r="S68" s="390"/>
      <c r="U68" s="414"/>
    </row>
    <row r="69" spans="2:25" s="87" customFormat="1" ht="15" customHeight="1">
      <c r="B69" s="172">
        <f>Periode!B69</f>
        <v>0</v>
      </c>
      <c r="C69" s="172"/>
      <c r="D69" s="61"/>
      <c r="E69" s="60"/>
      <c r="F69" s="60"/>
      <c r="G69" s="60"/>
      <c r="H69" s="60"/>
      <c r="I69" s="60"/>
      <c r="J69" s="60"/>
      <c r="K69" s="106"/>
      <c r="L69" s="132"/>
      <c r="M69" s="61"/>
      <c r="N69" s="61"/>
      <c r="O69" s="42"/>
      <c r="P69" s="73"/>
      <c r="Q69" s="389"/>
      <c r="R69" s="1209"/>
      <c r="S69" s="407"/>
      <c r="U69" s="409"/>
    </row>
    <row r="70" spans="2:25" s="91" customFormat="1" ht="15" customHeight="1">
      <c r="B70" s="5" t="str">
        <f>Periode!B70</f>
        <v>Marco Booij</v>
      </c>
      <c r="C70" s="5" t="str">
        <f>Periode!G70</f>
        <v>32 (4wk)</v>
      </c>
      <c r="D70" s="61"/>
      <c r="E70" s="60"/>
      <c r="F70" s="60"/>
      <c r="G70" s="235"/>
      <c r="H70" s="235"/>
      <c r="I70" s="235"/>
      <c r="J70" s="60"/>
      <c r="K70" s="106">
        <f>(Periode!BB70*E70/40)+((F70+H70+I70)*Periode!BD70/40)+(J70*Periode!BF70/40)+(G70*Periode!BE70/40)</f>
        <v>0</v>
      </c>
      <c r="L70" s="132"/>
      <c r="M70" s="136"/>
      <c r="N70" s="136"/>
      <c r="O70" s="42"/>
      <c r="P70" s="73">
        <v>171.65</v>
      </c>
      <c r="Q70" s="43">
        <f>K70+O70+P70</f>
        <v>171.65</v>
      </c>
      <c r="R70" s="722" t="s">
        <v>405</v>
      </c>
      <c r="S70" s="241" t="s">
        <v>136</v>
      </c>
      <c r="U70" s="343"/>
    </row>
    <row r="71" spans="2:25" s="91" customFormat="1" ht="15" customHeight="1">
      <c r="B71" s="5"/>
      <c r="C71" s="5"/>
      <c r="D71" s="61"/>
      <c r="E71" s="60"/>
      <c r="F71" s="235"/>
      <c r="G71" s="235"/>
      <c r="H71" s="235"/>
      <c r="I71" s="235"/>
      <c r="J71" s="469"/>
      <c r="K71" s="106"/>
      <c r="L71" s="132"/>
      <c r="M71" s="132"/>
      <c r="N71" s="136"/>
      <c r="O71" s="42"/>
      <c r="P71" s="42"/>
      <c r="Q71" s="43"/>
      <c r="R71" s="722"/>
      <c r="S71" s="241"/>
      <c r="U71" s="343"/>
    </row>
    <row r="72" spans="2:25" s="262" customFormat="1" ht="15" customHeight="1">
      <c r="B72" s="172"/>
      <c r="C72" s="172"/>
      <c r="D72" s="205"/>
      <c r="E72" s="259"/>
      <c r="F72" s="259"/>
      <c r="G72" s="259"/>
      <c r="H72" s="259"/>
      <c r="I72" s="259"/>
      <c r="J72" s="259"/>
      <c r="K72" s="106"/>
      <c r="L72" s="205">
        <v>50</v>
      </c>
      <c r="M72" s="205"/>
      <c r="N72" s="205">
        <f>(L72*D72*2)+M72</f>
        <v>0</v>
      </c>
      <c r="O72" s="42"/>
      <c r="P72" s="261"/>
      <c r="Q72" s="304">
        <f>K72+O72+P72</f>
        <v>0</v>
      </c>
      <c r="R72" s="563"/>
      <c r="S72" s="397" t="s">
        <v>129</v>
      </c>
      <c r="U72" s="414"/>
    </row>
    <row r="73" spans="2:25" s="87" customFormat="1" ht="15" customHeight="1">
      <c r="B73" s="172">
        <v>0</v>
      </c>
      <c r="C73" s="172"/>
      <c r="D73" s="61"/>
      <c r="E73" s="60"/>
      <c r="F73" s="60"/>
      <c r="G73" s="60"/>
      <c r="H73" s="60"/>
      <c r="I73" s="60"/>
      <c r="J73" s="60"/>
      <c r="K73" s="106"/>
      <c r="L73" s="132"/>
      <c r="M73" s="61"/>
      <c r="N73" s="61"/>
      <c r="O73" s="42"/>
      <c r="P73" s="73"/>
      <c r="Q73" s="389"/>
      <c r="R73" s="1143"/>
      <c r="S73" s="407"/>
      <c r="U73" s="409"/>
    </row>
    <row r="74" spans="2:25" s="91" customFormat="1" ht="15" customHeight="1">
      <c r="B74" s="5" t="str">
        <f>Periode!B74</f>
        <v>Kevin Schuiling</v>
      </c>
      <c r="C74" s="5" t="str">
        <f>Periode!G74</f>
        <v>32 (4wk)</v>
      </c>
      <c r="D74" s="61">
        <v>3</v>
      </c>
      <c r="E74" s="60">
        <v>24</v>
      </c>
      <c r="F74" s="60"/>
      <c r="G74" s="235"/>
      <c r="H74" s="235"/>
      <c r="I74" s="235"/>
      <c r="J74" s="60">
        <v>8</v>
      </c>
      <c r="K74" s="106">
        <f>(Periode!BB74*E74/40)+((F74+H74+I74)*Periode!BD74/40)+(J74*Periode!BF74/40)+(G74*Periode!BE74/40)</f>
        <v>476.56259999999997</v>
      </c>
      <c r="L74" s="132">
        <v>58</v>
      </c>
      <c r="M74" s="136"/>
      <c r="N74" s="136">
        <f>(L74*D74*2)+M74</f>
        <v>348</v>
      </c>
      <c r="O74" s="42">
        <f>((L74*2*D74)+M74)*0.28</f>
        <v>97.440000000000012</v>
      </c>
      <c r="P74" s="73"/>
      <c r="Q74" s="43">
        <f>K74+O74+P74</f>
        <v>574.00260000000003</v>
      </c>
      <c r="R74" s="722" t="s">
        <v>489</v>
      </c>
      <c r="S74" s="241" t="s">
        <v>490</v>
      </c>
      <c r="U74" s="343"/>
    </row>
    <row r="75" spans="2:25" s="87" customFormat="1" ht="15" customHeight="1">
      <c r="B75" s="172">
        <f>Periode!B75</f>
        <v>0</v>
      </c>
      <c r="C75" s="172"/>
      <c r="D75" s="61"/>
      <c r="E75" s="60"/>
      <c r="F75" s="60"/>
      <c r="G75" s="60"/>
      <c r="H75" s="60"/>
      <c r="I75" s="60"/>
      <c r="J75" s="60"/>
      <c r="K75" s="106"/>
      <c r="L75" s="132"/>
      <c r="M75" s="61"/>
      <c r="N75" s="61"/>
      <c r="O75" s="42"/>
      <c r="P75" s="73"/>
      <c r="Q75" s="389"/>
      <c r="R75" s="1210"/>
      <c r="S75" s="407"/>
      <c r="U75" s="409"/>
    </row>
    <row r="76" spans="2:25" s="87" customFormat="1" ht="15" customHeight="1">
      <c r="B76" s="172">
        <f>Periode!B76</f>
        <v>0</v>
      </c>
      <c r="C76" s="172"/>
      <c r="D76" s="61"/>
      <c r="E76" s="60"/>
      <c r="F76" s="60"/>
      <c r="G76" s="60"/>
      <c r="H76" s="60"/>
      <c r="I76" s="60"/>
      <c r="J76" s="60"/>
      <c r="K76" s="106"/>
      <c r="L76" s="132"/>
      <c r="M76" s="61"/>
      <c r="N76" s="61"/>
      <c r="O76" s="42"/>
      <c r="P76" s="73"/>
      <c r="Q76" s="389"/>
      <c r="R76" s="1177"/>
      <c r="S76" s="407"/>
      <c r="U76" s="409"/>
    </row>
    <row r="77" spans="2:25" s="91" customFormat="1" ht="15" customHeight="1">
      <c r="B77" s="5" t="str">
        <f>Periode!B77</f>
        <v>Steven Lamers</v>
      </c>
      <c r="C77" s="5" t="str">
        <f>Periode!G77</f>
        <v>32 (4wk)</v>
      </c>
      <c r="D77" s="61">
        <v>3</v>
      </c>
      <c r="E77" s="60">
        <v>24</v>
      </c>
      <c r="F77" s="60"/>
      <c r="G77" s="235"/>
      <c r="H77" s="235"/>
      <c r="I77" s="60"/>
      <c r="J77" s="60">
        <v>8</v>
      </c>
      <c r="K77" s="106">
        <f>(Periode!BB77*E77/40)+((F77+H77+I77)*Periode!BD77/40)+(J77*Periode!BF77/40)+(G77*Periode!BE77/40)</f>
        <v>527.09195999999997</v>
      </c>
      <c r="L77" s="132"/>
      <c r="M77" s="136"/>
      <c r="N77" s="136"/>
      <c r="O77" s="42"/>
      <c r="P77" s="73"/>
      <c r="Q77" s="43">
        <f>K77+O77+P77</f>
        <v>527.09195999999997</v>
      </c>
      <c r="R77" s="722" t="s">
        <v>489</v>
      </c>
      <c r="S77" s="241" t="s">
        <v>222</v>
      </c>
      <c r="U77" s="343"/>
    </row>
    <row r="78" spans="2:25" s="87" customFormat="1" ht="15" customHeight="1">
      <c r="B78" s="172">
        <f>Periode!B78</f>
        <v>0</v>
      </c>
      <c r="C78" s="172">
        <f>Periode!H78</f>
        <v>0</v>
      </c>
      <c r="D78" s="61"/>
      <c r="E78" s="60"/>
      <c r="F78" s="60"/>
      <c r="G78" s="60"/>
      <c r="H78" s="60"/>
      <c r="I78" s="60"/>
      <c r="J78" s="60"/>
      <c r="K78" s="106"/>
      <c r="L78" s="132"/>
      <c r="M78" s="61"/>
      <c r="N78" s="61"/>
      <c r="O78" s="42"/>
      <c r="P78" s="73"/>
      <c r="Q78" s="389"/>
      <c r="R78" s="1177"/>
      <c r="S78" s="676" t="s">
        <v>228</v>
      </c>
      <c r="U78" s="409"/>
    </row>
    <row r="79" spans="2:25" s="87" customFormat="1" ht="15" customHeight="1">
      <c r="B79" s="172">
        <f>Periode!B79</f>
        <v>0</v>
      </c>
      <c r="C79" s="172">
        <f>Periode!H79</f>
        <v>0</v>
      </c>
      <c r="D79" s="61"/>
      <c r="E79" s="60"/>
      <c r="F79" s="60"/>
      <c r="G79" s="60"/>
      <c r="H79" s="60"/>
      <c r="I79" s="60"/>
      <c r="J79" s="60"/>
      <c r="K79" s="106"/>
      <c r="L79" s="132"/>
      <c r="M79" s="61"/>
      <c r="N79" s="61"/>
      <c r="O79" s="42"/>
      <c r="P79" s="73"/>
      <c r="Q79" s="389"/>
      <c r="R79" s="722"/>
      <c r="S79" s="407"/>
      <c r="U79" s="409"/>
    </row>
    <row r="80" spans="2:25" s="91" customFormat="1" ht="15" customHeight="1">
      <c r="B80" s="5" t="str">
        <f>Periode!B80</f>
        <v>Leo van Doorn</v>
      </c>
      <c r="C80" s="5" t="str">
        <f>Periode!G80</f>
        <v>0</v>
      </c>
      <c r="D80" s="61">
        <v>4</v>
      </c>
      <c r="E80" s="60">
        <v>32</v>
      </c>
      <c r="F80" s="60"/>
      <c r="G80" s="60"/>
      <c r="H80" s="60"/>
      <c r="I80" s="60"/>
      <c r="J80" s="60">
        <v>8</v>
      </c>
      <c r="K80" s="106">
        <f>(Periode!BB80*E80/40)+((F80+H80+I80)*Periode!BD80/40)+(J80*Periode!BF80/40)+(G80*Periode!BE80/40)</f>
        <v>708.09907999999996</v>
      </c>
      <c r="L80" s="132">
        <v>21</v>
      </c>
      <c r="M80" s="136"/>
      <c r="N80" s="136">
        <f>(L80*D80*2)+M80</f>
        <v>168</v>
      </c>
      <c r="O80" s="42">
        <f>((L80*2*D80)+M80)*0.28</f>
        <v>47.040000000000006</v>
      </c>
      <c r="P80" s="73"/>
      <c r="Q80" s="43">
        <f>K80+O80+P80</f>
        <v>755.13907999999992</v>
      </c>
      <c r="R80" s="722" t="s">
        <v>484</v>
      </c>
      <c r="S80" s="241" t="s">
        <v>238</v>
      </c>
      <c r="U80" s="343"/>
    </row>
    <row r="81" spans="2:21" s="87" customFormat="1" ht="15" customHeight="1">
      <c r="B81" s="172">
        <f>Periode!B81</f>
        <v>0</v>
      </c>
      <c r="C81" s="172">
        <f>Periode!H81</f>
        <v>0</v>
      </c>
      <c r="D81" s="61"/>
      <c r="E81" s="60"/>
      <c r="F81" s="60"/>
      <c r="G81" s="60"/>
      <c r="H81" s="60"/>
      <c r="I81" s="60"/>
      <c r="J81" s="60"/>
      <c r="K81" s="106"/>
      <c r="L81" s="132"/>
      <c r="M81" s="61"/>
      <c r="N81" s="61"/>
      <c r="O81" s="42"/>
      <c r="P81" s="73"/>
      <c r="Q81" s="389"/>
      <c r="R81" s="722"/>
      <c r="S81" s="407"/>
      <c r="U81" s="409"/>
    </row>
    <row r="82" spans="2:21" s="87" customFormat="1" ht="15" customHeight="1">
      <c r="B82" s="172">
        <f>Periode!B82</f>
        <v>0</v>
      </c>
      <c r="C82" s="172">
        <f>Periode!H82</f>
        <v>0</v>
      </c>
      <c r="D82" s="61"/>
      <c r="E82" s="60"/>
      <c r="F82" s="60"/>
      <c r="G82" s="60"/>
      <c r="H82" s="60"/>
      <c r="I82" s="60"/>
      <c r="J82" s="60"/>
      <c r="K82" s="106"/>
      <c r="L82" s="132"/>
      <c r="M82" s="61"/>
      <c r="N82" s="61"/>
      <c r="O82" s="42"/>
      <c r="P82" s="73"/>
      <c r="Q82" s="389"/>
      <c r="R82" s="722"/>
      <c r="S82" s="407"/>
      <c r="U82" s="409"/>
    </row>
    <row r="83" spans="2:21" s="91" customFormat="1" ht="15" customHeight="1">
      <c r="B83" s="1149" t="str">
        <f>Periode!B83</f>
        <v>Tobin van de Kuil</v>
      </c>
      <c r="C83" s="5" t="str">
        <f>Periode!G83</f>
        <v>0</v>
      </c>
      <c r="D83" s="61">
        <v>1</v>
      </c>
      <c r="E83" s="60">
        <v>8</v>
      </c>
      <c r="F83" s="60"/>
      <c r="G83" s="60"/>
      <c r="H83" s="60"/>
      <c r="I83" s="60"/>
      <c r="J83" s="60">
        <v>8</v>
      </c>
      <c r="K83" s="106">
        <f>(Periode!BB83*E83/40)+((F83+H83+I83)*Periode!BD83/40)+(J83*Periode!BF83/40)+(G83*Periode!BE83/40)</f>
        <v>296.42461000000003</v>
      </c>
      <c r="L83" s="132">
        <v>0</v>
      </c>
      <c r="M83" s="136">
        <v>80</v>
      </c>
      <c r="N83" s="136">
        <f>(L83*D83*2)+M83</f>
        <v>80</v>
      </c>
      <c r="O83" s="42">
        <f>((L83*2*D83)+M83)*0.28</f>
        <v>22.400000000000002</v>
      </c>
      <c r="P83" s="73">
        <v>-28.28</v>
      </c>
      <c r="Q83" s="43">
        <f>K83+O83+P83</f>
        <v>290.54461000000003</v>
      </c>
      <c r="R83" s="722" t="s">
        <v>496</v>
      </c>
      <c r="S83" s="241" t="s">
        <v>420</v>
      </c>
      <c r="U83" s="343"/>
    </row>
    <row r="84" spans="2:21" s="87" customFormat="1" ht="15" customHeight="1">
      <c r="B84" s="172"/>
      <c r="C84" s="172">
        <f>Periode!H84</f>
        <v>0</v>
      </c>
      <c r="D84" s="61"/>
      <c r="E84" s="60"/>
      <c r="F84" s="60"/>
      <c r="G84" s="60"/>
      <c r="H84" s="60"/>
      <c r="I84" s="60"/>
      <c r="J84" s="60"/>
      <c r="K84" s="106"/>
      <c r="L84" s="132"/>
      <c r="M84" s="61"/>
      <c r="N84" s="61"/>
      <c r="O84" s="42"/>
      <c r="P84" s="73"/>
      <c r="Q84" s="389"/>
      <c r="R84" s="1177" t="s">
        <v>502</v>
      </c>
      <c r="S84" s="407"/>
      <c r="U84" s="409"/>
    </row>
    <row r="85" spans="2:21" s="87" customFormat="1" ht="15" customHeight="1">
      <c r="B85" s="172">
        <f>Periode!B85</f>
        <v>0</v>
      </c>
      <c r="C85" s="172">
        <f>Periode!H85</f>
        <v>0</v>
      </c>
      <c r="D85" s="61"/>
      <c r="E85" s="60"/>
      <c r="F85" s="60"/>
      <c r="G85" s="60"/>
      <c r="H85" s="60"/>
      <c r="I85" s="60"/>
      <c r="J85" s="60"/>
      <c r="K85" s="106"/>
      <c r="L85" s="132"/>
      <c r="M85" s="61"/>
      <c r="N85" s="61"/>
      <c r="O85" s="42"/>
      <c r="P85" s="73"/>
      <c r="Q85" s="389"/>
      <c r="R85" s="722"/>
      <c r="S85" s="407"/>
      <c r="U85" s="409"/>
    </row>
    <row r="86" spans="2:21" s="87" customFormat="1" ht="15" customHeight="1">
      <c r="B86" s="172">
        <f>Periode!B86</f>
        <v>0</v>
      </c>
      <c r="C86" s="172">
        <f>Periode!H86</f>
        <v>0</v>
      </c>
      <c r="D86" s="61"/>
      <c r="E86" s="60"/>
      <c r="F86" s="60"/>
      <c r="G86" s="60"/>
      <c r="H86" s="60"/>
      <c r="I86" s="60"/>
      <c r="J86" s="60"/>
      <c r="K86" s="106"/>
      <c r="L86" s="132"/>
      <c r="M86" s="61"/>
      <c r="N86" s="61"/>
      <c r="O86" s="42"/>
      <c r="P86" s="73"/>
      <c r="Q86" s="389"/>
      <c r="R86" s="1177"/>
      <c r="S86" s="407"/>
      <c r="U86" s="409"/>
    </row>
    <row r="87" spans="2:21" s="91" customFormat="1" ht="15" customHeight="1">
      <c r="B87" s="5" t="str">
        <f>Periode!B87</f>
        <v>Carlo Peetoom</v>
      </c>
      <c r="C87" s="5" t="str">
        <f>Periode!G87</f>
        <v>32 (4wk)</v>
      </c>
      <c r="D87" s="61">
        <v>3</v>
      </c>
      <c r="E87" s="60">
        <v>24</v>
      </c>
      <c r="F87" s="60"/>
      <c r="G87" s="235"/>
      <c r="H87" s="60"/>
      <c r="I87" s="60"/>
      <c r="J87" s="60">
        <v>8</v>
      </c>
      <c r="K87" s="106">
        <f>(Periode!BB87*E87/40)+((F87+H87+I87)*Periode!BD87/40)+(J87*Periode!BF87/40)+(G87*Periode!BE87/40)</f>
        <v>666.24524999999994</v>
      </c>
      <c r="L87" s="132">
        <v>40</v>
      </c>
      <c r="M87" s="136"/>
      <c r="N87" s="136">
        <f>(L87*D87*2)+M87</f>
        <v>240</v>
      </c>
      <c r="O87" s="561">
        <f>((L87*2*D87)+M87)*0.25</f>
        <v>60</v>
      </c>
      <c r="P87" s="73">
        <f>'WK21'!N87*0.02</f>
        <v>6.4</v>
      </c>
      <c r="Q87" s="42">
        <f>K87+O87+P87</f>
        <v>732.64524999999992</v>
      </c>
      <c r="R87" s="271" t="s">
        <v>487</v>
      </c>
      <c r="S87" s="241" t="s">
        <v>442</v>
      </c>
      <c r="U87" s="343"/>
    </row>
    <row r="88" spans="2:21" s="87" customFormat="1" ht="15" customHeight="1">
      <c r="B88" s="172">
        <f>Periode!B88</f>
        <v>0</v>
      </c>
      <c r="C88" s="172">
        <f>Periode!H88</f>
        <v>0</v>
      </c>
      <c r="D88" s="61"/>
      <c r="E88" s="60"/>
      <c r="F88" s="60"/>
      <c r="G88" s="60"/>
      <c r="H88" s="60"/>
      <c r="I88" s="60"/>
      <c r="J88" s="60"/>
      <c r="K88" s="106"/>
      <c r="L88" s="132"/>
      <c r="M88" s="61"/>
      <c r="N88" s="61"/>
      <c r="O88" s="42"/>
      <c r="P88" s="73"/>
      <c r="Q88" s="389"/>
      <c r="R88" s="722"/>
      <c r="S88" s="407"/>
      <c r="U88" s="409"/>
    </row>
    <row r="89" spans="2:21" s="87" customFormat="1" ht="15" customHeight="1">
      <c r="B89" s="172">
        <f>Periode!B89</f>
        <v>0</v>
      </c>
      <c r="C89" s="172">
        <f>Periode!H89</f>
        <v>0</v>
      </c>
      <c r="D89" s="61"/>
      <c r="E89" s="60"/>
      <c r="F89" s="60"/>
      <c r="G89" s="60"/>
      <c r="H89" s="60"/>
      <c r="I89" s="60"/>
      <c r="J89" s="60"/>
      <c r="K89" s="106"/>
      <c r="L89" s="132"/>
      <c r="M89" s="61"/>
      <c r="N89" s="61"/>
      <c r="O89" s="42"/>
      <c r="P89" s="73"/>
      <c r="Q89" s="389"/>
      <c r="R89" s="1210"/>
      <c r="S89" s="407"/>
      <c r="U89" s="409"/>
    </row>
    <row r="90" spans="2:21" s="91" customFormat="1" ht="15" customHeight="1">
      <c r="B90" s="1149" t="str">
        <f>Periode!B90</f>
        <v>Aries Provence</v>
      </c>
      <c r="C90" s="5" t="str">
        <f>Periode!G90</f>
        <v>0</v>
      </c>
      <c r="D90" s="61">
        <v>4</v>
      </c>
      <c r="E90" s="60">
        <v>32</v>
      </c>
      <c r="F90" s="60"/>
      <c r="G90" s="60"/>
      <c r="H90" s="60"/>
      <c r="I90" s="60"/>
      <c r="J90" s="60">
        <v>8</v>
      </c>
      <c r="K90" s="106">
        <f>(Periode!BB90*E90/40)+((F90+H90+I90)*Periode!BD90/40)+(J90*Periode!BF90/40)+(G90*Periode!BE90/40)</f>
        <v>596.90691000000004</v>
      </c>
      <c r="L90" s="132">
        <v>85</v>
      </c>
      <c r="M90" s="136"/>
      <c r="N90" s="136">
        <f>(L90*D90*2)+M90</f>
        <v>680</v>
      </c>
      <c r="O90" s="561">
        <f>((L90*2*D90)+M90)*0.25</f>
        <v>170</v>
      </c>
      <c r="P90" s="73">
        <f>'WK21'!N90*0.02</f>
        <v>13.6</v>
      </c>
      <c r="Q90" s="43">
        <f>K90+O90+P90</f>
        <v>780.50691000000006</v>
      </c>
      <c r="R90" s="722" t="s">
        <v>484</v>
      </c>
      <c r="S90" s="241" t="s">
        <v>422</v>
      </c>
      <c r="U90" s="343"/>
    </row>
    <row r="91" spans="2:21" s="87" customFormat="1" ht="15" customHeight="1">
      <c r="B91" s="172">
        <f>Periode!B91</f>
        <v>0</v>
      </c>
      <c r="C91" s="172">
        <f>Periode!H91</f>
        <v>0</v>
      </c>
      <c r="D91" s="61"/>
      <c r="E91" s="60"/>
      <c r="F91" s="60"/>
      <c r="G91" s="60"/>
      <c r="H91" s="60"/>
      <c r="I91" s="60"/>
      <c r="J91" s="60"/>
      <c r="K91" s="106"/>
      <c r="L91" s="132"/>
      <c r="M91" s="61"/>
      <c r="N91" s="61"/>
      <c r="O91" s="42"/>
      <c r="P91" s="73"/>
      <c r="Q91" s="389"/>
      <c r="R91" s="722"/>
      <c r="S91" s="407"/>
      <c r="U91" s="409"/>
    </row>
    <row r="92" spans="2:21" s="91" customFormat="1" ht="15" customHeight="1">
      <c r="B92" s="1149" t="str">
        <f>Periode!B92</f>
        <v>Gregory de Graaf</v>
      </c>
      <c r="C92" s="5" t="str">
        <f>Periode!G92</f>
        <v>0</v>
      </c>
      <c r="D92" s="61">
        <v>4</v>
      </c>
      <c r="E92" s="60">
        <v>27.5</v>
      </c>
      <c r="F92" s="60"/>
      <c r="G92" s="60"/>
      <c r="H92" s="60"/>
      <c r="I92" s="60"/>
      <c r="J92" s="60">
        <v>8</v>
      </c>
      <c r="K92" s="106">
        <f>(Periode!BB92*E92/40)+((F92+H92+I92)*Periode!BD92/40)+(J92*Periode!BF92/40)+(G92*Periode!BE92/40)</f>
        <v>651.26160000000004</v>
      </c>
      <c r="L92" s="132"/>
      <c r="M92" s="136"/>
      <c r="N92" s="136"/>
      <c r="O92" s="42"/>
      <c r="P92" s="73"/>
      <c r="Q92" s="949">
        <f>K92+O92+P92</f>
        <v>651.26160000000004</v>
      </c>
      <c r="R92" s="722" t="s">
        <v>254</v>
      </c>
      <c r="S92" s="241" t="s">
        <v>431</v>
      </c>
      <c r="U92" s="343"/>
    </row>
    <row r="93" spans="2:21" s="87" customFormat="1" ht="15" customHeight="1">
      <c r="B93" s="172">
        <f>Periode!B93</f>
        <v>0</v>
      </c>
      <c r="C93" s="172">
        <f>Periode!H93</f>
        <v>0</v>
      </c>
      <c r="D93" s="61"/>
      <c r="E93" s="60"/>
      <c r="F93" s="60"/>
      <c r="G93" s="60"/>
      <c r="H93" s="60"/>
      <c r="I93" s="60"/>
      <c r="J93" s="60"/>
      <c r="K93" s="106"/>
      <c r="L93" s="132"/>
      <c r="M93" s="61"/>
      <c r="N93" s="61"/>
      <c r="O93" s="42"/>
      <c r="P93" s="73"/>
      <c r="Q93" s="389"/>
      <c r="R93" s="722" t="s">
        <v>497</v>
      </c>
      <c r="S93" s="407"/>
      <c r="U93" s="409"/>
    </row>
    <row r="94" spans="2:21" s="87" customFormat="1" ht="15" customHeight="1">
      <c r="B94" s="172">
        <f>Periode!B94</f>
        <v>0</v>
      </c>
      <c r="C94" s="172">
        <f>Periode!H94</f>
        <v>0</v>
      </c>
      <c r="D94" s="61"/>
      <c r="E94" s="60"/>
      <c r="F94" s="60"/>
      <c r="G94" s="60"/>
      <c r="H94" s="60"/>
      <c r="I94" s="60"/>
      <c r="J94" s="60"/>
      <c r="K94" s="106"/>
      <c r="L94" s="132"/>
      <c r="M94" s="61"/>
      <c r="N94" s="61"/>
      <c r="O94" s="42"/>
      <c r="P94" s="73"/>
      <c r="Q94" s="389"/>
      <c r="R94" s="722"/>
      <c r="S94" s="407"/>
      <c r="U94" s="409"/>
    </row>
    <row r="95" spans="2:21" s="91" customFormat="1" ht="15" customHeight="1">
      <c r="B95" s="5"/>
      <c r="C95" s="5"/>
      <c r="D95" s="61"/>
      <c r="E95" s="60"/>
      <c r="F95" s="60"/>
      <c r="G95" s="235"/>
      <c r="H95" s="235"/>
      <c r="I95" s="235"/>
      <c r="J95" s="60"/>
      <c r="K95" s="106"/>
      <c r="L95" s="132"/>
      <c r="M95" s="136"/>
      <c r="N95" s="136"/>
      <c r="O95" s="42"/>
      <c r="P95" s="73"/>
      <c r="Q95" s="43"/>
      <c r="R95" s="1177"/>
      <c r="S95" s="241"/>
      <c r="U95" s="343"/>
    </row>
    <row r="96" spans="2:21" s="87" customFormat="1" ht="15" customHeight="1">
      <c r="B96" s="172">
        <f>Periode!B96</f>
        <v>0</v>
      </c>
      <c r="C96" s="172">
        <f>Periode!H96</f>
        <v>0</v>
      </c>
      <c r="D96" s="61"/>
      <c r="E96" s="60"/>
      <c r="F96" s="60"/>
      <c r="G96" s="60"/>
      <c r="H96" s="60"/>
      <c r="I96" s="60"/>
      <c r="J96" s="60"/>
      <c r="K96" s="106"/>
      <c r="L96" s="132"/>
      <c r="M96" s="61"/>
      <c r="N96" s="61"/>
      <c r="O96" s="42"/>
      <c r="P96" s="73"/>
      <c r="Q96" s="1199"/>
      <c r="R96" s="722"/>
      <c r="S96" s="407"/>
      <c r="U96" s="409"/>
    </row>
    <row r="97" spans="2:21" s="87" customFormat="1" ht="15" customHeight="1">
      <c r="B97" s="172">
        <f>Periode!B97</f>
        <v>0</v>
      </c>
      <c r="C97" s="172">
        <f>Periode!H97</f>
        <v>0</v>
      </c>
      <c r="D97" s="61"/>
      <c r="E97" s="60"/>
      <c r="F97" s="60"/>
      <c r="G97" s="60"/>
      <c r="H97" s="60"/>
      <c r="I97" s="60"/>
      <c r="J97" s="60"/>
      <c r="K97" s="106"/>
      <c r="L97" s="132"/>
      <c r="M97" s="61"/>
      <c r="N97" s="61"/>
      <c r="O97" s="42"/>
      <c r="P97" s="73"/>
      <c r="Q97" s="1200"/>
      <c r="R97" s="722"/>
      <c r="S97" s="407"/>
      <c r="U97" s="409"/>
    </row>
    <row r="98" spans="2:21" s="91" customFormat="1" ht="15" customHeight="1">
      <c r="B98" s="242"/>
      <c r="C98" s="5"/>
      <c r="D98" s="136"/>
      <c r="E98" s="235"/>
      <c r="F98" s="235"/>
      <c r="G98" s="235"/>
      <c r="H98" s="235"/>
      <c r="I98" s="235"/>
      <c r="J98" s="235"/>
      <c r="K98" s="106"/>
      <c r="L98" s="243"/>
      <c r="M98" s="136"/>
      <c r="N98" s="136"/>
      <c r="O98" s="245"/>
      <c r="P98" s="42"/>
      <c r="Q98" s="43"/>
      <c r="R98" s="1211"/>
      <c r="S98" s="277"/>
      <c r="U98" s="343"/>
    </row>
    <row r="99" spans="2:21" s="91" customFormat="1" ht="15" customHeight="1">
      <c r="B99" s="5" t="str">
        <f>Periode!B99</f>
        <v>Eric de Jong</v>
      </c>
      <c r="C99" s="5" t="str">
        <f>Periode!G99</f>
        <v>0</v>
      </c>
      <c r="D99" s="61"/>
      <c r="E99" s="60"/>
      <c r="F99" s="60"/>
      <c r="G99" s="60"/>
      <c r="H99" s="60"/>
      <c r="I99" s="235"/>
      <c r="J99" s="60">
        <v>8</v>
      </c>
      <c r="K99" s="106">
        <f>(Periode!BB99*E99/40)+((F99+H99+I99)*Periode!BD99/40)+(J99*Periode!BF99/40)+(G99*Periode!BE99/40)</f>
        <v>181.50857999999999</v>
      </c>
      <c r="L99" s="132">
        <v>47</v>
      </c>
      <c r="M99" s="136"/>
      <c r="N99" s="136">
        <f>(L99*D99*2)+M99</f>
        <v>0</v>
      </c>
      <c r="O99" s="1235">
        <f>((L99*2*D99)+M99)*0.23</f>
        <v>0</v>
      </c>
      <c r="P99" s="73"/>
      <c r="Q99" s="43">
        <f>K99+O99+P99</f>
        <v>181.50857999999999</v>
      </c>
      <c r="R99" s="722" t="s">
        <v>491</v>
      </c>
      <c r="S99" s="241" t="s">
        <v>409</v>
      </c>
      <c r="U99" s="343"/>
    </row>
    <row r="100" spans="2:21" s="87" customFormat="1" ht="15" customHeight="1">
      <c r="B100" s="172"/>
      <c r="C100" s="172"/>
      <c r="D100" s="61"/>
      <c r="E100" s="60"/>
      <c r="F100" s="60"/>
      <c r="G100" s="60"/>
      <c r="H100" s="60"/>
      <c r="I100" s="60"/>
      <c r="J100" s="60"/>
      <c r="K100" s="106"/>
      <c r="L100" s="132"/>
      <c r="M100" s="61"/>
      <c r="N100" s="61"/>
      <c r="O100" s="42"/>
      <c r="P100" s="73"/>
      <c r="Q100" s="389"/>
      <c r="R100" s="832"/>
      <c r="S100" s="676"/>
      <c r="U100" s="855"/>
    </row>
    <row r="101" spans="2:21" s="91" customFormat="1" ht="15" customHeight="1">
      <c r="B101" s="5"/>
      <c r="C101" s="5"/>
      <c r="D101" s="61"/>
      <c r="E101" s="60"/>
      <c r="F101" s="60"/>
      <c r="G101" s="235"/>
      <c r="H101" s="235"/>
      <c r="I101" s="235"/>
      <c r="J101" s="60"/>
      <c r="K101" s="106"/>
      <c r="L101" s="132"/>
      <c r="M101" s="136"/>
      <c r="N101" s="136"/>
      <c r="O101" s="42"/>
      <c r="P101" s="73"/>
      <c r="Q101" s="43"/>
      <c r="R101" s="832"/>
      <c r="S101" s="241"/>
      <c r="U101" s="343"/>
    </row>
    <row r="102" spans="2:21" s="87" customFormat="1" ht="15" customHeight="1">
      <c r="B102" s="172"/>
      <c r="C102" s="172"/>
      <c r="D102" s="61"/>
      <c r="E102" s="60"/>
      <c r="F102" s="60"/>
      <c r="G102" s="60"/>
      <c r="H102" s="60"/>
      <c r="I102" s="60"/>
      <c r="J102" s="60"/>
      <c r="K102" s="106"/>
      <c r="L102" s="132"/>
      <c r="M102" s="61"/>
      <c r="N102" s="61"/>
      <c r="O102" s="42"/>
      <c r="P102" s="73"/>
      <c r="Q102" s="389"/>
      <c r="R102" s="1212"/>
      <c r="S102" s="407"/>
      <c r="U102" s="409"/>
    </row>
    <row r="103" spans="2:21" s="87" customFormat="1" ht="15" customHeight="1">
      <c r="B103" s="172">
        <f>Periode!B103</f>
        <v>0</v>
      </c>
      <c r="C103" s="172">
        <f>Periode!H103</f>
        <v>0</v>
      </c>
      <c r="D103" s="61"/>
      <c r="E103" s="60"/>
      <c r="F103" s="60"/>
      <c r="G103" s="60"/>
      <c r="H103" s="60"/>
      <c r="I103" s="60"/>
      <c r="J103" s="60"/>
      <c r="K103" s="106"/>
      <c r="L103" s="132"/>
      <c r="M103" s="61"/>
      <c r="N103" s="61"/>
      <c r="O103" s="42"/>
      <c r="P103" s="73"/>
      <c r="Q103" s="389"/>
      <c r="R103" s="722"/>
      <c r="S103" s="407"/>
      <c r="U103" s="409"/>
    </row>
    <row r="104" spans="2:21" s="91" customFormat="1" ht="15" customHeight="1">
      <c r="B104" s="5" t="str">
        <f>Periode!B104</f>
        <v>Michel van der Mark</v>
      </c>
      <c r="C104" s="5" t="str">
        <f>Periode!G104</f>
        <v>32 (4wk)</v>
      </c>
      <c r="D104" s="61">
        <v>4</v>
      </c>
      <c r="E104" s="60">
        <v>32</v>
      </c>
      <c r="F104" s="60"/>
      <c r="G104" s="60"/>
      <c r="H104" s="60"/>
      <c r="I104" s="235"/>
      <c r="J104" s="60">
        <v>8</v>
      </c>
      <c r="K104" s="106">
        <f>(Periode!BB104*E104/40)+((F104+H104+I104)*Periode!BD104/40)+(J104*Periode!BF104/40)+(G104*Periode!BE104/40)</f>
        <v>700.58184000000006</v>
      </c>
      <c r="L104" s="132"/>
      <c r="M104" s="136"/>
      <c r="N104" s="136"/>
      <c r="O104" s="42"/>
      <c r="P104" s="73"/>
      <c r="Q104" s="43">
        <f>K104+O104+P104</f>
        <v>700.58184000000006</v>
      </c>
      <c r="R104" s="722" t="s">
        <v>484</v>
      </c>
      <c r="S104" s="241" t="s">
        <v>209</v>
      </c>
      <c r="U104" s="343"/>
    </row>
    <row r="105" spans="2:21" s="87" customFormat="1" ht="15" customHeight="1">
      <c r="B105" s="172">
        <f>Periode!B105</f>
        <v>0</v>
      </c>
      <c r="C105" s="172">
        <f>Periode!H105</f>
        <v>0</v>
      </c>
      <c r="D105" s="61"/>
      <c r="E105" s="60"/>
      <c r="F105" s="60"/>
      <c r="G105" s="60"/>
      <c r="H105" s="60"/>
      <c r="I105" s="60"/>
      <c r="J105" s="60"/>
      <c r="K105" s="106"/>
      <c r="L105" s="132"/>
      <c r="M105" s="61"/>
      <c r="N105" s="61"/>
      <c r="O105" s="42"/>
      <c r="P105" s="73"/>
      <c r="Q105" s="389"/>
      <c r="R105" s="722"/>
      <c r="S105" s="407"/>
      <c r="U105" s="409"/>
    </row>
    <row r="106" spans="2:21" s="87" customFormat="1" ht="15" customHeight="1">
      <c r="B106" s="172">
        <f>Periode!B106</f>
        <v>0</v>
      </c>
      <c r="C106" s="172">
        <f>Periode!H106</f>
        <v>0</v>
      </c>
      <c r="D106" s="61"/>
      <c r="E106" s="60"/>
      <c r="F106" s="60"/>
      <c r="G106" s="60"/>
      <c r="H106" s="60"/>
      <c r="I106" s="60"/>
      <c r="J106" s="60"/>
      <c r="K106" s="106"/>
      <c r="L106" s="132"/>
      <c r="M106" s="61"/>
      <c r="N106" s="61"/>
      <c r="O106" s="42"/>
      <c r="P106" s="73"/>
      <c r="Q106" s="389"/>
      <c r="R106" s="722"/>
      <c r="S106" s="407"/>
      <c r="U106" s="409"/>
    </row>
    <row r="107" spans="2:21" s="91" customFormat="1" ht="15" customHeight="1">
      <c r="B107" s="5"/>
      <c r="C107" s="5"/>
      <c r="D107" s="61"/>
      <c r="E107" s="60"/>
      <c r="F107" s="60"/>
      <c r="G107" s="60"/>
      <c r="H107" s="60"/>
      <c r="I107" s="60"/>
      <c r="J107" s="60"/>
      <c r="K107" s="106"/>
      <c r="L107" s="132"/>
      <c r="M107" s="136"/>
      <c r="N107" s="136"/>
      <c r="O107" s="42"/>
      <c r="P107" s="73"/>
      <c r="Q107" s="43"/>
      <c r="R107" s="722"/>
      <c r="S107" s="241"/>
      <c r="U107" s="343"/>
    </row>
    <row r="108" spans="2:21" s="87" customFormat="1" ht="15" customHeight="1">
      <c r="B108" s="172">
        <f>Periode!B108</f>
        <v>0</v>
      </c>
      <c r="C108" s="172">
        <f>Periode!H108</f>
        <v>0</v>
      </c>
      <c r="D108" s="61"/>
      <c r="E108" s="60"/>
      <c r="F108" s="60"/>
      <c r="G108" s="60"/>
      <c r="H108" s="60"/>
      <c r="I108" s="60"/>
      <c r="J108" s="60"/>
      <c r="K108" s="106"/>
      <c r="L108" s="132"/>
      <c r="M108" s="61"/>
      <c r="N108" s="61"/>
      <c r="O108" s="42"/>
      <c r="P108" s="73"/>
      <c r="Q108" s="389"/>
      <c r="R108" s="1213"/>
      <c r="S108" s="407"/>
      <c r="U108" s="409"/>
    </row>
    <row r="109" spans="2:21" s="87" customFormat="1" ht="15" customHeight="1">
      <c r="B109" s="172">
        <f>Periode!B109</f>
        <v>0</v>
      </c>
      <c r="C109" s="172">
        <f>Periode!H109</f>
        <v>0</v>
      </c>
      <c r="D109" s="61"/>
      <c r="E109" s="60"/>
      <c r="F109" s="60"/>
      <c r="G109" s="60"/>
      <c r="H109" s="60"/>
      <c r="I109" s="60"/>
      <c r="J109" s="60"/>
      <c r="K109" s="106"/>
      <c r="L109" s="132"/>
      <c r="M109" s="61"/>
      <c r="N109" s="61"/>
      <c r="O109" s="42"/>
      <c r="P109" s="73"/>
      <c r="Q109" s="389"/>
      <c r="R109" s="1210"/>
      <c r="S109" s="407"/>
      <c r="U109" s="409"/>
    </row>
    <row r="110" spans="2:21" s="91" customFormat="1" ht="15" customHeight="1">
      <c r="B110" s="5" t="str">
        <f>Periode!B110</f>
        <v>Jan Harteveld</v>
      </c>
      <c r="C110" s="5" t="str">
        <f>Periode!G110</f>
        <v>150 (4wk)</v>
      </c>
      <c r="D110" s="61">
        <v>4</v>
      </c>
      <c r="E110" s="60">
        <v>31</v>
      </c>
      <c r="F110" s="60"/>
      <c r="G110" s="60"/>
      <c r="H110" s="235"/>
      <c r="I110" s="235"/>
      <c r="J110" s="60">
        <v>6.5</v>
      </c>
      <c r="K110" s="106">
        <f>(Periode!BB110*E110/40)+((F110+H110+I110)*Periode!BD110/40)+(J110*Periode!BF110/40)+(G110*Periode!BE110/40)</f>
        <v>740.65854374999992</v>
      </c>
      <c r="L110" s="132">
        <v>14</v>
      </c>
      <c r="M110" s="136"/>
      <c r="N110" s="136">
        <f>(L110*D110*2)+M110</f>
        <v>112</v>
      </c>
      <c r="O110" s="561">
        <f>((L110*2*D110)+M110)*0.25</f>
        <v>28</v>
      </c>
      <c r="P110" s="73">
        <f>'WK21'!N110*0.02</f>
        <v>2.8000000000000003</v>
      </c>
      <c r="Q110" s="43">
        <f>K110+O110+P110</f>
        <v>771.45854374999988</v>
      </c>
      <c r="R110" s="722" t="s">
        <v>505</v>
      </c>
      <c r="S110" s="241" t="s">
        <v>513</v>
      </c>
      <c r="U110" s="343"/>
    </row>
    <row r="111" spans="2:21" s="87" customFormat="1" ht="15" customHeight="1">
      <c r="B111" s="172">
        <f>Periode!B111</f>
        <v>0</v>
      </c>
      <c r="C111" s="172">
        <f>Periode!H111</f>
        <v>0</v>
      </c>
      <c r="D111" s="61"/>
      <c r="E111" s="60"/>
      <c r="F111" s="60"/>
      <c r="G111" s="60"/>
      <c r="H111" s="60"/>
      <c r="I111" s="60"/>
      <c r="J111" s="60"/>
      <c r="K111" s="106"/>
      <c r="L111" s="132"/>
      <c r="M111" s="61"/>
      <c r="N111" s="61"/>
      <c r="O111" s="42"/>
      <c r="P111" s="73"/>
      <c r="Q111" s="389"/>
      <c r="R111" s="722"/>
      <c r="S111" s="407"/>
      <c r="U111" s="409"/>
    </row>
    <row r="112" spans="2:21" s="87" customFormat="1" ht="15" customHeight="1">
      <c r="B112" s="172">
        <f>Periode!B112</f>
        <v>0</v>
      </c>
      <c r="C112" s="172">
        <f>Periode!H112</f>
        <v>0</v>
      </c>
      <c r="D112" s="61"/>
      <c r="E112" s="60"/>
      <c r="F112" s="60"/>
      <c r="G112" s="60"/>
      <c r="H112" s="60"/>
      <c r="I112" s="60"/>
      <c r="J112" s="60"/>
      <c r="K112" s="106"/>
      <c r="L112" s="132"/>
      <c r="M112" s="61"/>
      <c r="N112" s="61"/>
      <c r="O112" s="42"/>
      <c r="P112" s="73"/>
      <c r="Q112" s="389"/>
      <c r="R112" s="722"/>
      <c r="S112" s="407"/>
      <c r="U112" s="409"/>
    </row>
    <row r="113" spans="2:21" s="91" customFormat="1" ht="15" customHeight="1">
      <c r="B113" s="5"/>
      <c r="C113" s="5"/>
      <c r="D113" s="61"/>
      <c r="E113" s="60"/>
      <c r="F113" s="60"/>
      <c r="G113" s="235"/>
      <c r="H113" s="235"/>
      <c r="I113" s="60"/>
      <c r="J113" s="60"/>
      <c r="K113" s="106"/>
      <c r="L113" s="132"/>
      <c r="M113" s="136"/>
      <c r="N113" s="136"/>
      <c r="O113" s="42"/>
      <c r="P113" s="73"/>
      <c r="Q113" s="43"/>
      <c r="R113" s="722"/>
      <c r="S113" s="241"/>
      <c r="U113" s="343"/>
    </row>
    <row r="114" spans="2:21" s="87" customFormat="1" ht="15" customHeight="1">
      <c r="B114" s="172">
        <f>Periode!B114</f>
        <v>0</v>
      </c>
      <c r="C114" s="172">
        <f>Periode!H114</f>
        <v>0</v>
      </c>
      <c r="D114" s="61"/>
      <c r="E114" s="60"/>
      <c r="F114" s="60"/>
      <c r="G114" s="60"/>
      <c r="H114" s="60"/>
      <c r="I114" s="60"/>
      <c r="J114" s="60"/>
      <c r="K114" s="106"/>
      <c r="L114" s="132"/>
      <c r="M114" s="61"/>
      <c r="N114" s="61"/>
      <c r="O114" s="42"/>
      <c r="P114" s="73"/>
      <c r="Q114" s="389"/>
      <c r="R114" s="722"/>
      <c r="S114" s="407"/>
      <c r="U114" s="409"/>
    </row>
    <row r="115" spans="2:21" s="87" customFormat="1" ht="15" customHeight="1">
      <c r="B115" s="172">
        <f>Periode!B115</f>
        <v>0</v>
      </c>
      <c r="C115" s="172">
        <f>Periode!H115</f>
        <v>0</v>
      </c>
      <c r="D115" s="61"/>
      <c r="E115" s="60"/>
      <c r="F115" s="60"/>
      <c r="G115" s="60"/>
      <c r="H115" s="60"/>
      <c r="I115" s="60"/>
      <c r="J115" s="60"/>
      <c r="K115" s="106"/>
      <c r="L115" s="132"/>
      <c r="M115" s="61"/>
      <c r="N115" s="61"/>
      <c r="O115" s="42"/>
      <c r="P115" s="73"/>
      <c r="Q115" s="389"/>
      <c r="R115" s="722" t="s">
        <v>254</v>
      </c>
      <c r="S115" s="407"/>
      <c r="U115" s="409"/>
    </row>
    <row r="116" spans="2:21" s="91" customFormat="1" ht="15" customHeight="1">
      <c r="B116" s="1149" t="str">
        <f>Periode!B116</f>
        <v>Asanty Raafenberg</v>
      </c>
      <c r="C116" s="5" t="str">
        <f>Periode!G116</f>
        <v>0</v>
      </c>
      <c r="D116" s="61"/>
      <c r="E116" s="60"/>
      <c r="F116" s="60"/>
      <c r="G116" s="60"/>
      <c r="H116" s="60"/>
      <c r="I116" s="60"/>
      <c r="J116" s="60">
        <v>8</v>
      </c>
      <c r="K116" s="106">
        <f>(Periode!BB116*E116/40)+((F116+H116+I116)*Periode!BD116/40)+(J116*Periode!BF116/40)+(G116*Periode!BE116/40)</f>
        <v>128.49804</v>
      </c>
      <c r="L116" s="132"/>
      <c r="M116" s="136"/>
      <c r="N116" s="136"/>
      <c r="O116" s="42"/>
      <c r="P116" s="73">
        <v>-80.819999999999993</v>
      </c>
      <c r="Q116" s="389">
        <f>K116+O116+P116</f>
        <v>47.67804000000001</v>
      </c>
      <c r="R116" s="722" t="s">
        <v>514</v>
      </c>
      <c r="S116" s="241" t="s">
        <v>225</v>
      </c>
      <c r="U116" s="343"/>
    </row>
    <row r="117" spans="2:21" s="91" customFormat="1" ht="15" customHeight="1">
      <c r="B117" s="242">
        <f>Periode!B117</f>
        <v>0</v>
      </c>
      <c r="C117" s="242">
        <f>Periode!G117</f>
        <v>0</v>
      </c>
      <c r="D117" s="243"/>
      <c r="E117" s="406"/>
      <c r="F117" s="406"/>
      <c r="G117" s="406"/>
      <c r="H117" s="406"/>
      <c r="I117" s="406"/>
      <c r="J117" s="406"/>
      <c r="K117" s="244"/>
      <c r="L117" s="243">
        <v>16</v>
      </c>
      <c r="M117" s="243"/>
      <c r="N117" s="243"/>
      <c r="O117" s="245"/>
      <c r="P117" s="245"/>
      <c r="Q117" s="395"/>
      <c r="R117" s="1177"/>
      <c r="S117" s="241"/>
      <c r="U117" s="343"/>
    </row>
    <row r="118" spans="2:21" s="87" customFormat="1" ht="15" customHeight="1">
      <c r="B118" s="172">
        <f>Periode!B118</f>
        <v>0</v>
      </c>
      <c r="C118" s="172">
        <f>Periode!H118</f>
        <v>0</v>
      </c>
      <c r="D118" s="61"/>
      <c r="E118" s="60"/>
      <c r="F118" s="60"/>
      <c r="G118" s="60"/>
      <c r="H118" s="60"/>
      <c r="I118" s="60"/>
      <c r="J118" s="60"/>
      <c r="K118" s="106"/>
      <c r="L118" s="132"/>
      <c r="M118" s="61"/>
      <c r="N118" s="61"/>
      <c r="O118" s="42"/>
      <c r="P118" s="73"/>
      <c r="Q118" s="389"/>
      <c r="R118" s="722"/>
      <c r="S118" s="407"/>
      <c r="U118" s="409"/>
    </row>
    <row r="119" spans="2:21" s="91" customFormat="1" ht="15" customHeight="1">
      <c r="B119" s="5" t="str">
        <f>Periode!B119</f>
        <v>Patrick Serlier</v>
      </c>
      <c r="C119" s="5" t="str">
        <f>Periode!G119</f>
        <v>32 (4wk)</v>
      </c>
      <c r="D119" s="61">
        <v>4</v>
      </c>
      <c r="E119" s="60">
        <v>32</v>
      </c>
      <c r="F119" s="60"/>
      <c r="G119" s="235"/>
      <c r="H119" s="60"/>
      <c r="I119" s="235"/>
      <c r="J119" s="60">
        <v>8</v>
      </c>
      <c r="K119" s="106">
        <f>(Periode!BB119*E119/40)+((F119+H119+I119)*Periode!BD119/40)+(J119*Periode!BF119/40)+(G119*Periode!BE119/40)</f>
        <v>670.93125999999995</v>
      </c>
      <c r="L119" s="132"/>
      <c r="M119" s="136"/>
      <c r="N119" s="136"/>
      <c r="O119" s="42"/>
      <c r="P119" s="73"/>
      <c r="Q119" s="43">
        <f>K119+O119+P119</f>
        <v>670.93125999999995</v>
      </c>
      <c r="R119" s="722" t="s">
        <v>484</v>
      </c>
      <c r="S119" s="241" t="s">
        <v>231</v>
      </c>
      <c r="U119" s="343"/>
    </row>
    <row r="120" spans="2:21" s="87" customFormat="1" ht="15" customHeight="1">
      <c r="B120" s="172">
        <f>Periode!B120</f>
        <v>0</v>
      </c>
      <c r="C120" s="172">
        <f>Periode!H120</f>
        <v>0</v>
      </c>
      <c r="D120" s="61"/>
      <c r="E120" s="60"/>
      <c r="F120" s="60"/>
      <c r="G120" s="60"/>
      <c r="H120" s="60"/>
      <c r="I120" s="60"/>
      <c r="J120" s="60"/>
      <c r="K120" s="106"/>
      <c r="L120" s="132"/>
      <c r="M120" s="61"/>
      <c r="N120" s="61"/>
      <c r="O120" s="42"/>
      <c r="P120" s="73"/>
      <c r="Q120" s="389"/>
      <c r="R120" s="1210"/>
      <c r="S120" s="407"/>
      <c r="U120" s="409"/>
    </row>
    <row r="121" spans="2:21" s="87" customFormat="1" ht="15" customHeight="1">
      <c r="B121" s="172">
        <f>Periode!B121</f>
        <v>0</v>
      </c>
      <c r="C121" s="172">
        <f>Periode!H121</f>
        <v>0</v>
      </c>
      <c r="D121" s="61"/>
      <c r="E121" s="60"/>
      <c r="F121" s="60"/>
      <c r="G121" s="60"/>
      <c r="H121" s="60"/>
      <c r="I121" s="60"/>
      <c r="J121" s="60"/>
      <c r="K121" s="106"/>
      <c r="L121" s="132"/>
      <c r="M121" s="61"/>
      <c r="N121" s="61"/>
      <c r="O121" s="42"/>
      <c r="P121" s="73"/>
      <c r="Q121" s="389"/>
      <c r="R121" s="722"/>
      <c r="S121" s="407"/>
      <c r="U121" s="409"/>
    </row>
    <row r="122" spans="2:21" s="87" customFormat="1" ht="15" customHeight="1">
      <c r="B122" s="172">
        <f>Periode!B122</f>
        <v>0</v>
      </c>
      <c r="C122" s="172">
        <f>Periode!H122</f>
        <v>0</v>
      </c>
      <c r="D122" s="61"/>
      <c r="E122" s="60"/>
      <c r="F122" s="60"/>
      <c r="G122" s="60"/>
      <c r="H122" s="60"/>
      <c r="I122" s="60"/>
      <c r="J122" s="60"/>
      <c r="K122" s="106"/>
      <c r="L122" s="132"/>
      <c r="M122" s="61"/>
      <c r="N122" s="61"/>
      <c r="O122" s="42"/>
      <c r="P122" s="73"/>
      <c r="Q122" s="389"/>
      <c r="R122" s="722"/>
      <c r="S122" s="407"/>
      <c r="U122" s="409"/>
    </row>
    <row r="123" spans="2:21" s="91" customFormat="1" ht="15" customHeight="1">
      <c r="B123" s="5" t="str">
        <f>Periode!B123</f>
        <v>Pieter van Houwelingen</v>
      </c>
      <c r="C123" s="5" t="str">
        <f>Periode!G123</f>
        <v>32 (4wk)</v>
      </c>
      <c r="D123" s="61">
        <v>3</v>
      </c>
      <c r="E123" s="60">
        <v>24</v>
      </c>
      <c r="F123" s="60"/>
      <c r="G123" s="235"/>
      <c r="H123" s="60">
        <v>6</v>
      </c>
      <c r="I123" s="60"/>
      <c r="J123" s="60">
        <v>8</v>
      </c>
      <c r="K123" s="106">
        <f>(Periode!BB123*E123/40)+((F123+H123+I123)*Periode!BD123/40)+(J123*Periode!BF123/40)+(G123*Periode!BE123/40)</f>
        <v>990.69987750000007</v>
      </c>
      <c r="L123" s="704">
        <v>32.5</v>
      </c>
      <c r="M123" s="136"/>
      <c r="N123" s="136">
        <f>(L123*D123*2)+M123</f>
        <v>195</v>
      </c>
      <c r="O123" s="561">
        <f>((L123*2*D123)+M123)*0.25</f>
        <v>48.75</v>
      </c>
      <c r="P123" s="73">
        <f>'WK21'!N123*0.02</f>
        <v>6.5</v>
      </c>
      <c r="Q123" s="43">
        <f>K123+O123+P123</f>
        <v>1045.9498775000002</v>
      </c>
      <c r="R123" s="722" t="s">
        <v>498</v>
      </c>
      <c r="S123" s="241" t="s">
        <v>197</v>
      </c>
      <c r="U123" s="343"/>
    </row>
    <row r="124" spans="2:21" s="87" customFormat="1" ht="15" customHeight="1">
      <c r="B124" s="172">
        <f>Periode!B124</f>
        <v>0</v>
      </c>
      <c r="C124" s="172">
        <f>Periode!H124</f>
        <v>0</v>
      </c>
      <c r="D124" s="61"/>
      <c r="E124" s="60"/>
      <c r="F124" s="60"/>
      <c r="G124" s="60"/>
      <c r="H124" s="60"/>
      <c r="I124" s="60"/>
      <c r="J124" s="60"/>
      <c r="K124" s="106"/>
      <c r="L124" s="132"/>
      <c r="M124" s="61"/>
      <c r="N124" s="61"/>
      <c r="O124" s="42"/>
      <c r="P124" s="73"/>
      <c r="Q124" s="389"/>
      <c r="R124" s="722"/>
      <c r="S124" s="407"/>
      <c r="U124" s="409"/>
    </row>
    <row r="125" spans="2:21" s="91" customFormat="1" ht="15" customHeight="1">
      <c r="B125" s="1149" t="str">
        <f>Periode!B125</f>
        <v>John van der Wel</v>
      </c>
      <c r="C125" s="5">
        <f>Periode!G125</f>
        <v>0</v>
      </c>
      <c r="D125" s="61">
        <v>4</v>
      </c>
      <c r="E125" s="60">
        <v>32</v>
      </c>
      <c r="F125" s="60"/>
      <c r="G125" s="235"/>
      <c r="H125" s="235"/>
      <c r="I125" s="235"/>
      <c r="J125" s="60">
        <v>8</v>
      </c>
      <c r="K125" s="106">
        <f>(Periode!BB125*E125/40)+((F125+H125+I125)*Periode!BD125/40)+(J125*Periode!BF125/40)+(G125*Periode!BE125/40)</f>
        <v>642.45064000000002</v>
      </c>
      <c r="L125" s="704"/>
      <c r="M125" s="136"/>
      <c r="N125" s="136"/>
      <c r="O125" s="42"/>
      <c r="P125" s="73">
        <v>-65.06</v>
      </c>
      <c r="Q125" s="43">
        <f>K125+O125+P125</f>
        <v>577.39064000000008</v>
      </c>
      <c r="R125" s="722" t="s">
        <v>484</v>
      </c>
      <c r="S125" s="241" t="s">
        <v>451</v>
      </c>
      <c r="U125" s="343"/>
    </row>
    <row r="126" spans="2:21" s="91" customFormat="1" ht="15" customHeight="1">
      <c r="B126" s="5"/>
      <c r="C126" s="5"/>
      <c r="D126" s="61"/>
      <c r="E126" s="60"/>
      <c r="F126" s="60"/>
      <c r="G126" s="60"/>
      <c r="H126" s="235"/>
      <c r="I126" s="235"/>
      <c r="J126" s="60"/>
      <c r="K126" s="106"/>
      <c r="L126" s="132"/>
      <c r="M126" s="136"/>
      <c r="N126" s="136"/>
      <c r="O126" s="42"/>
      <c r="P126" s="73"/>
      <c r="Q126" s="43"/>
      <c r="R126" s="722" t="s">
        <v>477</v>
      </c>
      <c r="S126" s="241"/>
      <c r="U126" s="343"/>
    </row>
    <row r="127" spans="2:21" s="87" customFormat="1" ht="15" customHeight="1">
      <c r="B127" s="172">
        <f>Periode!B127</f>
        <v>0</v>
      </c>
      <c r="C127" s="172">
        <f>Periode!H127</f>
        <v>0</v>
      </c>
      <c r="D127" s="61"/>
      <c r="E127" s="60"/>
      <c r="F127" s="60"/>
      <c r="G127" s="60"/>
      <c r="H127" s="60"/>
      <c r="I127" s="60"/>
      <c r="J127" s="60"/>
      <c r="K127" s="106"/>
      <c r="L127" s="132"/>
      <c r="M127" s="61"/>
      <c r="N127" s="61"/>
      <c r="O127" s="42"/>
      <c r="P127" s="73"/>
      <c r="Q127" s="389"/>
      <c r="R127" s="1177"/>
      <c r="S127" s="407"/>
      <c r="U127" s="409"/>
    </row>
    <row r="128" spans="2:21" s="87" customFormat="1" ht="15" customHeight="1">
      <c r="B128" s="172">
        <f>Periode!B128</f>
        <v>0</v>
      </c>
      <c r="C128" s="172">
        <f>Periode!H128</f>
        <v>0</v>
      </c>
      <c r="D128" s="61"/>
      <c r="E128" s="60"/>
      <c r="F128" s="60"/>
      <c r="G128" s="60"/>
      <c r="H128" s="60"/>
      <c r="I128" s="60"/>
      <c r="J128" s="60"/>
      <c r="K128" s="106"/>
      <c r="L128" s="132"/>
      <c r="M128" s="61"/>
      <c r="N128" s="61"/>
      <c r="O128" s="42"/>
      <c r="P128" s="73"/>
      <c r="Q128" s="389"/>
      <c r="R128" s="722"/>
      <c r="S128" s="407"/>
      <c r="U128" s="409"/>
    </row>
    <row r="129" spans="2:26" s="91" customFormat="1" ht="15" customHeight="1">
      <c r="B129" s="5" t="str">
        <f>Periode!B129</f>
        <v>Marcel Spruijt</v>
      </c>
      <c r="C129" s="5" t="str">
        <f>Periode!G129</f>
        <v>32 (4wk)</v>
      </c>
      <c r="D129" s="61">
        <v>4</v>
      </c>
      <c r="E129" s="60">
        <v>32</v>
      </c>
      <c r="F129" s="60"/>
      <c r="G129" s="235"/>
      <c r="H129" s="235"/>
      <c r="I129" s="235"/>
      <c r="J129" s="60">
        <v>8</v>
      </c>
      <c r="K129" s="106">
        <f>(Periode!BB129*E129/40)+((F129+H129+I129)*Periode!BD129/40)+(J129*Periode!BF129/40)+(G129*Periode!BE129/40)</f>
        <v>739.45779600000003</v>
      </c>
      <c r="L129" s="132"/>
      <c r="M129" s="136"/>
      <c r="N129" s="136"/>
      <c r="O129" s="42"/>
      <c r="P129" s="73">
        <f>-(2*10.57)</f>
        <v>-21.14</v>
      </c>
      <c r="Q129" s="43">
        <f>K129+O129+P129</f>
        <v>718.31779600000004</v>
      </c>
      <c r="R129" s="722" t="s">
        <v>504</v>
      </c>
      <c r="S129" s="241" t="s">
        <v>187</v>
      </c>
      <c r="U129" s="343"/>
    </row>
    <row r="130" spans="2:26" s="87" customFormat="1" ht="15" customHeight="1">
      <c r="B130" s="172">
        <f>Periode!B130</f>
        <v>0</v>
      </c>
      <c r="C130" s="172">
        <f>Periode!H130</f>
        <v>0</v>
      </c>
      <c r="D130" s="61"/>
      <c r="E130" s="60"/>
      <c r="F130" s="60"/>
      <c r="G130" s="60"/>
      <c r="H130" s="60"/>
      <c r="I130" s="60"/>
      <c r="J130" s="60"/>
      <c r="K130" s="106"/>
      <c r="L130" s="133"/>
      <c r="M130" s="61"/>
      <c r="N130" s="61"/>
      <c r="O130" s="659"/>
      <c r="P130" s="73"/>
      <c r="Q130" s="389"/>
      <c r="R130" s="722"/>
      <c r="S130" s="407"/>
      <c r="T130" s="1"/>
      <c r="U130" s="411"/>
      <c r="V130" s="1"/>
      <c r="W130" s="1"/>
      <c r="X130" s="1"/>
      <c r="Y130" s="1"/>
      <c r="Z130" s="1"/>
    </row>
    <row r="131" spans="2:26" s="91" customFormat="1" ht="15" customHeight="1">
      <c r="B131" s="1149" t="str">
        <f>Periode!B131</f>
        <v>Michael Windhorst</v>
      </c>
      <c r="C131" s="5" t="str">
        <f>Periode!G131</f>
        <v>0</v>
      </c>
      <c r="D131" s="61">
        <v>2</v>
      </c>
      <c r="E131" s="60">
        <v>16</v>
      </c>
      <c r="F131" s="60">
        <f>(2*6.8*0.9)</f>
        <v>12.24</v>
      </c>
      <c r="G131" s="60"/>
      <c r="H131" s="235"/>
      <c r="I131" s="235"/>
      <c r="J131" s="60">
        <v>8</v>
      </c>
      <c r="K131" s="106">
        <f>(Periode!BB131*E131/40)+((F131+H131+I131)*Periode!BD131/40)+(J131*Periode!BF131/40)+(G131*Periode!BE131/40)</f>
        <v>557.72518600000001</v>
      </c>
      <c r="L131" s="132"/>
      <c r="M131" s="136"/>
      <c r="N131" s="136"/>
      <c r="O131" s="42"/>
      <c r="P131" s="73"/>
      <c r="Q131" s="43">
        <f>K131+O131+P131</f>
        <v>557.72518600000001</v>
      </c>
      <c r="R131" s="722" t="s">
        <v>548</v>
      </c>
      <c r="S131" s="241" t="s">
        <v>441</v>
      </c>
      <c r="U131" s="343"/>
    </row>
    <row r="132" spans="2:26" s="91" customFormat="1" ht="15" customHeight="1">
      <c r="B132" s="5"/>
      <c r="C132" s="5"/>
      <c r="D132" s="61"/>
      <c r="E132" s="60"/>
      <c r="F132" s="60"/>
      <c r="G132" s="60"/>
      <c r="H132" s="235"/>
      <c r="I132" s="235"/>
      <c r="J132" s="60"/>
      <c r="K132" s="106"/>
      <c r="L132" s="132"/>
      <c r="M132" s="136"/>
      <c r="N132" s="136"/>
      <c r="O132" s="42"/>
      <c r="P132" s="73"/>
      <c r="Q132" s="43"/>
      <c r="R132" s="1231" t="s">
        <v>446</v>
      </c>
      <c r="S132" s="241"/>
      <c r="U132" s="343"/>
    </row>
    <row r="133" spans="2:26" s="87" customFormat="1" ht="15" customHeight="1" thickBot="1">
      <c r="B133" s="172">
        <f>Periode!B133</f>
        <v>0</v>
      </c>
      <c r="C133" s="172">
        <f>Periode!H133</f>
        <v>0</v>
      </c>
      <c r="D133" s="61"/>
      <c r="E133" s="60"/>
      <c r="F133" s="60"/>
      <c r="G133" s="60"/>
      <c r="H133" s="60"/>
      <c r="I133" s="60"/>
      <c r="J133" s="438"/>
      <c r="K133" s="106"/>
      <c r="L133" s="132"/>
      <c r="M133" s="61"/>
      <c r="N133" s="61"/>
      <c r="O133" s="90"/>
      <c r="P133" s="73"/>
      <c r="Q133" s="389"/>
      <c r="R133" s="962">
        <f>K134</f>
        <v>420.43168750000007</v>
      </c>
      <c r="U133" s="409"/>
    </row>
    <row r="134" spans="2:26" s="91" customFormat="1" ht="15" customHeight="1">
      <c r="B134" s="1149" t="str">
        <f>Periode!B134</f>
        <v>Remco van Doorne</v>
      </c>
      <c r="C134" s="5">
        <f>Periode!G134</f>
        <v>0</v>
      </c>
      <c r="D134" s="61">
        <v>3</v>
      </c>
      <c r="E134" s="60">
        <v>23</v>
      </c>
      <c r="F134" s="60"/>
      <c r="G134" s="235"/>
      <c r="H134" s="235"/>
      <c r="I134" s="235"/>
      <c r="J134" s="60">
        <v>8</v>
      </c>
      <c r="K134" s="106">
        <f>(Periode!BB134*E134/40)+((F134+H134+I134)*Periode!BD134/40)+(J134*Periode!BF134/40)+(G134*Periode!BE134/40)</f>
        <v>420.43168750000007</v>
      </c>
      <c r="L134" s="704"/>
      <c r="M134" s="136"/>
      <c r="N134" s="136"/>
      <c r="O134" s="42"/>
      <c r="P134" s="1146">
        <f>(D134*Periode!AY134)</f>
        <v>31.29</v>
      </c>
      <c r="Q134" s="43">
        <f>K134+O134+P134</f>
        <v>451.72168750000009</v>
      </c>
      <c r="R134" s="962" t="s">
        <v>454</v>
      </c>
      <c r="S134" s="878" t="s">
        <v>429</v>
      </c>
      <c r="T134" s="825"/>
      <c r="U134" s="826"/>
      <c r="V134" s="825"/>
      <c r="W134" s="825"/>
      <c r="X134" s="825"/>
      <c r="Y134" s="827"/>
    </row>
    <row r="135" spans="2:26" s="91" customFormat="1" ht="15" customHeight="1">
      <c r="B135" s="5"/>
      <c r="C135" s="5"/>
      <c r="D135" s="61"/>
      <c r="E135" s="60"/>
      <c r="F135" s="60"/>
      <c r="G135" s="235"/>
      <c r="H135" s="235"/>
      <c r="I135" s="235"/>
      <c r="J135" s="60"/>
      <c r="K135" s="106"/>
      <c r="L135" s="132"/>
      <c r="M135" s="136"/>
      <c r="N135" s="136"/>
      <c r="O135" s="42"/>
      <c r="P135" s="73"/>
      <c r="Q135" s="43"/>
      <c r="R135" s="962">
        <f>P134</f>
        <v>31.29</v>
      </c>
      <c r="S135" s="676" t="s">
        <v>432</v>
      </c>
      <c r="U135" s="343"/>
      <c r="Y135" s="858"/>
    </row>
    <row r="136" spans="2:26" s="87" customFormat="1" ht="15" customHeight="1" thickBot="1">
      <c r="B136" s="172">
        <f>Periode!B136</f>
        <v>0</v>
      </c>
      <c r="C136" s="172">
        <f>Periode!H136</f>
        <v>0</v>
      </c>
      <c r="D136" s="61"/>
      <c r="E136" s="60"/>
      <c r="F136" s="60"/>
      <c r="G136" s="60"/>
      <c r="H136" s="60"/>
      <c r="I136" s="60"/>
      <c r="J136" s="60"/>
      <c r="K136" s="106"/>
      <c r="L136" s="133"/>
      <c r="M136" s="61"/>
      <c r="N136" s="61"/>
      <c r="O136" s="659"/>
      <c r="P136" s="73"/>
      <c r="Q136" s="389"/>
      <c r="R136" s="1230" t="s">
        <v>499</v>
      </c>
      <c r="S136" s="877" t="s">
        <v>433</v>
      </c>
      <c r="T136" s="1179"/>
      <c r="U136" s="1180"/>
      <c r="V136" s="1179"/>
      <c r="W136" s="1179"/>
      <c r="X136" s="1179"/>
      <c r="Y136" s="1181"/>
      <c r="Z136" s="1"/>
    </row>
    <row r="137" spans="2:26" s="87" customFormat="1" ht="15" customHeight="1">
      <c r="B137" s="172">
        <f>Periode!B137</f>
        <v>0</v>
      </c>
      <c r="C137" s="172">
        <f>Periode!H137</f>
        <v>0</v>
      </c>
      <c r="D137" s="61"/>
      <c r="E137" s="60"/>
      <c r="F137" s="60"/>
      <c r="G137" s="60"/>
      <c r="H137" s="60"/>
      <c r="I137" s="60"/>
      <c r="J137" s="60"/>
      <c r="K137" s="106"/>
      <c r="L137" s="133"/>
      <c r="M137" s="61"/>
      <c r="N137" s="61"/>
      <c r="O137" s="659"/>
      <c r="P137" s="73"/>
      <c r="Q137" s="389"/>
      <c r="R137" s="971"/>
      <c r="S137" s="407"/>
      <c r="T137" s="1"/>
      <c r="U137" s="411"/>
      <c r="V137" s="1"/>
      <c r="W137" s="1"/>
      <c r="X137" s="1"/>
      <c r="Y137" s="1"/>
      <c r="Z137" s="1"/>
    </row>
    <row r="138" spans="2:26" s="91" customFormat="1" ht="16.5" customHeight="1">
      <c r="B138" s="5" t="str">
        <f>Periode!B138</f>
        <v>Rob Valkenburg</v>
      </c>
      <c r="C138" s="5" t="str">
        <f>Periode!G138</f>
        <v>0</v>
      </c>
      <c r="D138" s="61">
        <v>4</v>
      </c>
      <c r="E138" s="60">
        <v>32</v>
      </c>
      <c r="F138" s="235"/>
      <c r="G138" s="60"/>
      <c r="H138" s="235"/>
      <c r="I138" s="60"/>
      <c r="J138" s="60">
        <v>8</v>
      </c>
      <c r="K138" s="106">
        <f>(Periode!BB138*E138/40)+((F138+H138+I138)*Periode!BD138/40)+(J138*Periode!BF138/40)+(G138*Periode!BE138/40)</f>
        <v>727.25837999999999</v>
      </c>
      <c r="L138" s="132">
        <v>35</v>
      </c>
      <c r="M138" s="136"/>
      <c r="N138" s="136">
        <f>(L138*D138*2)+M138</f>
        <v>280</v>
      </c>
      <c r="O138" s="42">
        <f>((L138*2*D138)+M138)*0.28</f>
        <v>78.400000000000006</v>
      </c>
      <c r="P138" s="73"/>
      <c r="Q138" s="43">
        <f>K138+O138+P138</f>
        <v>805.65837999999997</v>
      </c>
      <c r="R138" s="722" t="s">
        <v>484</v>
      </c>
      <c r="S138" s="241" t="s">
        <v>437</v>
      </c>
      <c r="U138" s="343"/>
    </row>
    <row r="139" spans="2:26" s="87" customFormat="1" ht="15" customHeight="1">
      <c r="B139" s="172">
        <f>Periode!B139</f>
        <v>0</v>
      </c>
      <c r="C139" s="172">
        <f>Periode!H139</f>
        <v>0</v>
      </c>
      <c r="D139" s="61"/>
      <c r="E139" s="60"/>
      <c r="F139" s="60"/>
      <c r="G139" s="60"/>
      <c r="H139" s="60"/>
      <c r="I139" s="60"/>
      <c r="J139" s="60"/>
      <c r="K139" s="106"/>
      <c r="L139" s="132"/>
      <c r="M139" s="61"/>
      <c r="N139" s="61"/>
      <c r="P139" s="73"/>
      <c r="Q139" s="389"/>
      <c r="R139" s="1177"/>
      <c r="S139" s="241"/>
      <c r="T139" s="1"/>
      <c r="U139" s="411"/>
      <c r="V139" s="1"/>
      <c r="W139" s="1"/>
      <c r="X139" s="1"/>
      <c r="Y139" s="1"/>
      <c r="Z139" s="1"/>
    </row>
    <row r="140" spans="2:26" s="91" customFormat="1" ht="15" customHeight="1">
      <c r="B140" s="5"/>
      <c r="C140" s="5"/>
      <c r="D140" s="61"/>
      <c r="E140" s="60"/>
      <c r="F140" s="235"/>
      <c r="G140" s="235"/>
      <c r="H140" s="235"/>
      <c r="I140" s="235"/>
      <c r="J140" s="235"/>
      <c r="K140" s="106"/>
      <c r="L140" s="132"/>
      <c r="M140" s="136"/>
      <c r="N140" s="136"/>
      <c r="O140" s="42"/>
      <c r="P140" s="42"/>
      <c r="Q140" s="43"/>
      <c r="R140" s="814"/>
      <c r="S140" s="241"/>
      <c r="U140" s="343"/>
    </row>
    <row r="141" spans="2:26" s="91" customFormat="1" ht="15" customHeight="1">
      <c r="B141" s="1149" t="str">
        <f>Periode!B141</f>
        <v>Herman Vos</v>
      </c>
      <c r="C141" s="5">
        <f>Periode!G141</f>
        <v>0</v>
      </c>
      <c r="D141" s="61">
        <v>4</v>
      </c>
      <c r="E141" s="60">
        <v>32</v>
      </c>
      <c r="F141" s="60"/>
      <c r="G141" s="60"/>
      <c r="H141" s="60"/>
      <c r="I141" s="60"/>
      <c r="J141" s="60">
        <v>8</v>
      </c>
      <c r="K141" s="106">
        <f>(Periode!BB141*E141/40)+((F141+H141+I141)*Periode!BD141/40)+(J141*Periode!BF141/40)+(G141*Periode!BE141/40)</f>
        <v>746.26260000000002</v>
      </c>
      <c r="L141" s="132"/>
      <c r="M141" s="136"/>
      <c r="N141" s="136"/>
      <c r="O141" s="42"/>
      <c r="P141" s="73"/>
      <c r="Q141" s="43">
        <f>K141+O141+P141</f>
        <v>746.26260000000002</v>
      </c>
      <c r="R141" s="722" t="s">
        <v>484</v>
      </c>
      <c r="S141" s="241" t="s">
        <v>424</v>
      </c>
      <c r="U141" s="343"/>
    </row>
    <row r="142" spans="2:26" s="87" customFormat="1" ht="15" customHeight="1">
      <c r="B142" s="172">
        <f>Periode!B142</f>
        <v>0</v>
      </c>
      <c r="C142" s="172">
        <f>Periode!H142</f>
        <v>0</v>
      </c>
      <c r="D142" s="61"/>
      <c r="E142" s="60"/>
      <c r="F142" s="60"/>
      <c r="G142" s="60"/>
      <c r="H142" s="60"/>
      <c r="I142" s="60"/>
      <c r="J142" s="60"/>
      <c r="K142" s="106"/>
      <c r="L142" s="132"/>
      <c r="M142" s="61"/>
      <c r="N142" s="61"/>
      <c r="O142" s="42"/>
      <c r="P142" s="73"/>
      <c r="Q142" s="389"/>
      <c r="R142" s="1210"/>
      <c r="S142" s="407"/>
      <c r="U142" s="409"/>
    </row>
    <row r="143" spans="2:26" s="91" customFormat="1" ht="15" customHeight="1">
      <c r="B143" s="5" t="str">
        <f>Periode!B143</f>
        <v>Remco Groenendaal</v>
      </c>
      <c r="C143" s="5" t="str">
        <f>Periode!G143</f>
        <v>32 (4wk)</v>
      </c>
      <c r="D143" s="61">
        <v>2</v>
      </c>
      <c r="E143" s="60">
        <v>13.5</v>
      </c>
      <c r="F143" s="60">
        <v>8</v>
      </c>
      <c r="G143" s="60"/>
      <c r="H143" s="60"/>
      <c r="I143" s="60">
        <v>10.5</v>
      </c>
      <c r="J143" s="60">
        <v>8</v>
      </c>
      <c r="K143" s="106">
        <f>(Periode!BB143*E143/40)+((F143+H143+I143)*Periode!BD143/40)+(J143*Periode!BF143/40)+(G143*Periode!BE143/40)</f>
        <v>706.67703000000006</v>
      </c>
      <c r="L143" s="132">
        <v>30</v>
      </c>
      <c r="M143" s="136"/>
      <c r="N143" s="136">
        <f>(L143*D143*2)+M143</f>
        <v>120</v>
      </c>
      <c r="O143" s="42">
        <f>((L143*2*D143)+M143)*0.28</f>
        <v>33.6</v>
      </c>
      <c r="P143" s="73">
        <v>-9</v>
      </c>
      <c r="Q143" s="43">
        <f>K143+O143+P143</f>
        <v>731.27703000000008</v>
      </c>
      <c r="R143" s="722" t="s">
        <v>500</v>
      </c>
      <c r="S143" s="241" t="s">
        <v>408</v>
      </c>
      <c r="U143" s="343"/>
    </row>
    <row r="144" spans="2:26" s="87" customFormat="1" ht="15" customHeight="1">
      <c r="B144" s="172">
        <f>Periode!B144</f>
        <v>0</v>
      </c>
      <c r="C144" s="172">
        <f>Periode!H144</f>
        <v>0</v>
      </c>
      <c r="D144" s="61"/>
      <c r="E144" s="60"/>
      <c r="F144" s="60"/>
      <c r="G144" s="60"/>
      <c r="H144" s="60"/>
      <c r="I144" s="60"/>
      <c r="J144" s="60"/>
      <c r="K144" s="106"/>
      <c r="L144" s="132"/>
      <c r="M144" s="61"/>
      <c r="N144" s="61"/>
      <c r="O144" s="42"/>
      <c r="P144" s="73"/>
      <c r="Q144" s="389"/>
      <c r="R144" s="722" t="s">
        <v>503</v>
      </c>
      <c r="S144" s="407"/>
      <c r="U144" s="409"/>
    </row>
    <row r="145" spans="1:26" s="87" customFormat="1" ht="15" customHeight="1">
      <c r="B145" s="172">
        <f>Periode!B145</f>
        <v>0</v>
      </c>
      <c r="C145" s="172">
        <f>Periode!H145</f>
        <v>0</v>
      </c>
      <c r="D145" s="61"/>
      <c r="E145" s="60"/>
      <c r="F145" s="60"/>
      <c r="G145" s="60"/>
      <c r="H145" s="60"/>
      <c r="I145" s="60"/>
      <c r="J145" s="60"/>
      <c r="K145" s="106"/>
      <c r="L145" s="132"/>
      <c r="M145" s="61"/>
      <c r="N145" s="61"/>
      <c r="O145" s="42"/>
      <c r="P145" s="73"/>
      <c r="Q145" s="389"/>
      <c r="R145" s="1177"/>
      <c r="S145" s="407"/>
      <c r="U145" s="409"/>
    </row>
    <row r="146" spans="1:26" s="87" customFormat="1" ht="15" customHeight="1">
      <c r="B146" s="172">
        <f>Periode!B146</f>
        <v>0</v>
      </c>
      <c r="C146" s="172">
        <f>Periode!H146</f>
        <v>0</v>
      </c>
      <c r="D146" s="61"/>
      <c r="E146" s="60"/>
      <c r="F146" s="60"/>
      <c r="G146" s="60"/>
      <c r="H146" s="60"/>
      <c r="I146" s="60"/>
      <c r="J146" s="60"/>
      <c r="K146" s="106"/>
      <c r="L146" s="132"/>
      <c r="M146" s="61"/>
      <c r="N146" s="61"/>
      <c r="O146" s="42"/>
      <c r="P146" s="73"/>
      <c r="Q146" s="389"/>
      <c r="R146" s="1177"/>
      <c r="S146" s="407"/>
      <c r="U146" s="409"/>
    </row>
    <row r="147" spans="1:26" s="91" customFormat="1" ht="15" customHeight="1">
      <c r="B147" s="5" t="str">
        <f>Periode!B147</f>
        <v>Fred Termonen</v>
      </c>
      <c r="C147" s="5" t="str">
        <f>Periode!G147</f>
        <v>32 (4wk)</v>
      </c>
      <c r="D147" s="61"/>
      <c r="E147" s="60"/>
      <c r="F147" s="60">
        <v>16</v>
      </c>
      <c r="G147" s="60"/>
      <c r="H147" s="60"/>
      <c r="I147" s="60"/>
      <c r="J147" s="60">
        <v>8</v>
      </c>
      <c r="K147" s="106">
        <f>(Periode!BB147*E147/40)+((F147+H147+I147)*Periode!BD147/40)+(J147*Periode!BF147/40)+(G147*Periode!BE147/40)</f>
        <v>445.39308</v>
      </c>
      <c r="L147" s="136"/>
      <c r="M147" s="136"/>
      <c r="N147" s="136"/>
      <c r="O147" s="42"/>
      <c r="P147" s="73"/>
      <c r="Q147" s="43">
        <f>K147+O147+P147</f>
        <v>445.39308</v>
      </c>
      <c r="R147" s="722" t="s">
        <v>501</v>
      </c>
      <c r="S147" s="241" t="s">
        <v>201</v>
      </c>
      <c r="U147" s="343"/>
    </row>
    <row r="148" spans="1:26" s="87" customFormat="1" ht="15" customHeight="1">
      <c r="B148" s="172">
        <f>Periode!B148</f>
        <v>0</v>
      </c>
      <c r="C148" s="172">
        <f>Periode!H148</f>
        <v>0</v>
      </c>
      <c r="D148" s="61"/>
      <c r="E148" s="60"/>
      <c r="F148" s="60"/>
      <c r="G148" s="60"/>
      <c r="H148" s="60"/>
      <c r="I148" s="60"/>
      <c r="J148" s="60"/>
      <c r="K148" s="106"/>
      <c r="L148" s="133"/>
      <c r="M148" s="61"/>
      <c r="N148" s="61"/>
      <c r="O148" s="659"/>
      <c r="P148" s="73"/>
      <c r="Q148" s="389"/>
      <c r="R148" s="722"/>
      <c r="S148" s="407"/>
      <c r="T148" s="1"/>
      <c r="U148" s="411"/>
      <c r="V148" s="1"/>
      <c r="W148" s="1"/>
      <c r="X148" s="1"/>
      <c r="Y148" s="1"/>
      <c r="Z148" s="1"/>
    </row>
    <row r="149" spans="1:26" s="719" customFormat="1" ht="15" customHeight="1">
      <c r="A149" s="91"/>
      <c r="B149" s="5" t="str">
        <f>Periode!B149</f>
        <v>Arnold Verstraten</v>
      </c>
      <c r="C149" s="5" t="str">
        <f>Periode!G149</f>
        <v>32 (4wk)</v>
      </c>
      <c r="D149" s="61">
        <v>4</v>
      </c>
      <c r="E149" s="60">
        <v>32</v>
      </c>
      <c r="F149" s="60"/>
      <c r="G149" s="60"/>
      <c r="H149" s="60"/>
      <c r="I149" s="60"/>
      <c r="J149" s="60">
        <v>8</v>
      </c>
      <c r="K149" s="106">
        <f>(Periode!BB149*E149/40)+((F149+H149+I149)*Periode!BD149/40)+(J149*Periode!BF149/40)+(G149*Periode!BE149/40)</f>
        <v>696.78176000000008</v>
      </c>
      <c r="L149" s="132">
        <v>27</v>
      </c>
      <c r="M149" s="136"/>
      <c r="N149" s="136">
        <f>(L149*D149*2)+M149</f>
        <v>216</v>
      </c>
      <c r="O149" s="42">
        <f>((L149*2*D149)+M149)*0.28</f>
        <v>60.480000000000004</v>
      </c>
      <c r="P149" s="73"/>
      <c r="Q149" s="43">
        <f>K149+O149+P149</f>
        <v>757.26176000000009</v>
      </c>
      <c r="R149" s="722" t="s">
        <v>492</v>
      </c>
      <c r="S149" s="241" t="s">
        <v>252</v>
      </c>
      <c r="U149" s="720"/>
    </row>
    <row r="150" spans="1:26">
      <c r="Q150" s="1198"/>
      <c r="R150" s="1215"/>
      <c r="S150" s="407"/>
    </row>
    <row r="151" spans="1:26">
      <c r="O151" s="808"/>
      <c r="R151" s="703"/>
      <c r="S151" s="407"/>
    </row>
    <row r="152" spans="1:26" s="87" customFormat="1" ht="15" customHeight="1">
      <c r="B152" s="88"/>
      <c r="C152" s="88"/>
      <c r="D152" s="112"/>
      <c r="E152" s="874"/>
      <c r="F152" s="874"/>
      <c r="G152" s="874"/>
      <c r="H152" s="60"/>
      <c r="I152" s="874"/>
      <c r="J152" s="874"/>
      <c r="K152" s="89"/>
      <c r="L152" s="112"/>
      <c r="M152" s="112"/>
      <c r="N152" s="112"/>
      <c r="O152" s="90"/>
      <c r="P152" s="90"/>
      <c r="Q152" s="90"/>
      <c r="R152" s="879"/>
      <c r="S152" s="875"/>
      <c r="U152" s="409"/>
    </row>
    <row r="153" spans="1:26">
      <c r="R153" s="393"/>
    </row>
    <row r="154" spans="1:26">
      <c r="J154" s="62"/>
      <c r="R154" s="393"/>
    </row>
    <row r="155" spans="1:26" s="719" customFormat="1" ht="15" customHeight="1">
      <c r="A155" s="91"/>
      <c r="B155" s="242">
        <f>Periode!B155</f>
        <v>0</v>
      </c>
      <c r="C155" s="242">
        <f>Periode!G155</f>
        <v>0</v>
      </c>
      <c r="D155" s="243"/>
      <c r="E155" s="406"/>
      <c r="F155" s="406"/>
      <c r="G155" s="406"/>
      <c r="H155" s="60"/>
      <c r="I155" s="406"/>
      <c r="J155" s="406"/>
      <c r="K155" s="244">
        <f>(Periode!BB155*E155/40)+((F155+H155+I155)*Periode!BD155/40)+(J155*Periode!BF155/40)+(G155*Periode!BE155/40)</f>
        <v>0</v>
      </c>
      <c r="L155" s="243"/>
      <c r="M155" s="243"/>
      <c r="N155" s="243">
        <f>(L155*D155*2)+M155</f>
        <v>0</v>
      </c>
      <c r="O155" s="245">
        <f>((L155*2*D155)+M155)*0.28</f>
        <v>0</v>
      </c>
      <c r="P155" s="245"/>
      <c r="Q155" s="245">
        <f>K155+O155+P155</f>
        <v>0</v>
      </c>
      <c r="R155" s="271"/>
      <c r="S155" s="241"/>
      <c r="U155" s="720"/>
    </row>
    <row r="156" spans="1:26" s="719" customFormat="1" ht="15" customHeight="1">
      <c r="A156" s="91"/>
      <c r="B156" s="5"/>
      <c r="C156" s="5"/>
      <c r="D156" s="61"/>
      <c r="E156" s="60"/>
      <c r="F156" s="235"/>
      <c r="G156" s="235"/>
      <c r="H156" s="60"/>
      <c r="I156" s="60"/>
      <c r="J156" s="235"/>
      <c r="K156" s="106"/>
      <c r="L156" s="132"/>
      <c r="M156" s="136"/>
      <c r="N156" s="136"/>
      <c r="O156" s="42"/>
      <c r="P156" s="42"/>
      <c r="Q156" s="42"/>
      <c r="R156" s="271"/>
      <c r="S156" s="241"/>
      <c r="U156" s="720"/>
    </row>
    <row r="157" spans="1:26">
      <c r="J157" s="62"/>
      <c r="R157" s="393"/>
    </row>
    <row r="158" spans="1:26">
      <c r="O158" s="65"/>
      <c r="R158" s="393"/>
    </row>
    <row r="159" spans="1:26">
      <c r="O159" s="65"/>
      <c r="R159" s="393"/>
      <c r="S159" s="241"/>
    </row>
    <row r="160" spans="1:26">
      <c r="R160" s="393"/>
    </row>
  </sheetData>
  <pageMargins left="0.7" right="0.7" top="0.75" bottom="0.75" header="0.3" footer="0.3"/>
  <pageSetup scale="21"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6E60-1EFD-4443-81F0-354F4D0D8826}">
  <sheetPr>
    <tabColor theme="0"/>
  </sheetPr>
  <dimension ref="A1:DW161"/>
  <sheetViews>
    <sheetView topLeftCell="C1" zoomScaleNormal="100" workbookViewId="0">
      <pane ySplit="7" topLeftCell="A113" activePane="bottomLeft" state="frozen"/>
      <selection pane="bottomLeft" activeCell="S134" sqref="S134:Y136"/>
    </sheetView>
  </sheetViews>
  <sheetFormatPr defaultColWidth="9.140625" defaultRowHeight="15"/>
  <cols>
    <col min="1" max="1" width="1.5703125" style="1" customWidth="1"/>
    <col min="2" max="2" width="31" style="72" customWidth="1"/>
    <col min="3" max="3" width="8" style="72" customWidth="1"/>
    <col min="4" max="4" width="6.28515625" style="64" customWidth="1"/>
    <col min="5" max="5" width="6.85546875" style="62" customWidth="1"/>
    <col min="6" max="6" width="6.140625" style="62" customWidth="1"/>
    <col min="7" max="10" width="5.28515625" style="62" customWidth="1"/>
    <col min="11" max="11" width="10.140625" style="63" bestFit="1" customWidth="1"/>
    <col min="12" max="12" width="9.5703125" style="133" customWidth="1"/>
    <col min="13" max="14" width="9.5703125" style="64" customWidth="1"/>
    <col min="15" max="15" width="11.5703125" style="659" customWidth="1"/>
    <col min="16" max="16" width="9.7109375" style="95" bestFit="1" customWidth="1"/>
    <col min="17" max="17" width="14.28515625" style="65" customWidth="1"/>
    <col min="18" max="18" width="59.85546875" style="271" customWidth="1"/>
    <col min="19" max="19" width="9.5703125" style="387" bestFit="1" customWidth="1"/>
    <col min="20" max="20" width="9.140625" style="1"/>
    <col min="21" max="21" width="9.140625" style="411"/>
    <col min="22" max="31" width="9.140625" style="1"/>
    <col min="32" max="32" width="9.7109375" style="1" customWidth="1"/>
    <col min="33" max="16384" width="9.140625" style="1"/>
  </cols>
  <sheetData>
    <row r="1" spans="2:127">
      <c r="B1" s="70"/>
      <c r="C1" s="70"/>
      <c r="D1" s="66"/>
      <c r="E1" s="67"/>
      <c r="F1" s="67"/>
      <c r="G1" s="67"/>
      <c r="H1" s="67"/>
      <c r="I1" s="67"/>
      <c r="J1" s="67"/>
      <c r="K1" s="68"/>
      <c r="L1" s="128"/>
      <c r="M1" s="66"/>
      <c r="N1" s="66"/>
      <c r="O1" s="543"/>
      <c r="P1" s="94"/>
      <c r="Q1" s="69"/>
      <c r="R1" s="91"/>
      <c r="S1" s="407"/>
    </row>
    <row r="2" spans="2:127">
      <c r="B2" s="109" t="s">
        <v>59</v>
      </c>
      <c r="C2" s="110"/>
      <c r="D2" s="111"/>
      <c r="E2" s="67"/>
      <c r="F2" s="67"/>
      <c r="G2" s="67"/>
      <c r="H2" s="67"/>
      <c r="I2" s="67"/>
      <c r="J2" s="67"/>
      <c r="K2" s="68"/>
      <c r="L2" s="128"/>
      <c r="M2" s="66"/>
      <c r="N2" s="66"/>
      <c r="O2" s="543"/>
      <c r="P2" s="94"/>
      <c r="Q2" s="69"/>
      <c r="R2" s="91"/>
      <c r="S2" s="407"/>
    </row>
    <row r="3" spans="2:127">
      <c r="B3" s="70"/>
      <c r="C3" s="70"/>
      <c r="D3" s="66"/>
      <c r="E3" s="67"/>
      <c r="F3" s="67"/>
      <c r="G3" s="67"/>
      <c r="H3" s="67"/>
      <c r="I3" s="67"/>
      <c r="J3" s="67"/>
      <c r="K3" s="68"/>
      <c r="L3" s="128"/>
      <c r="M3" s="66"/>
      <c r="N3" s="66"/>
      <c r="O3" s="543"/>
      <c r="P3" s="94"/>
      <c r="Q3" s="69"/>
      <c r="R3" s="444"/>
      <c r="S3" s="407"/>
    </row>
    <row r="4" spans="2:127">
      <c r="B4" s="70"/>
      <c r="C4" s="70"/>
      <c r="D4" s="66"/>
      <c r="E4" s="67"/>
      <c r="F4" s="365"/>
      <c r="G4" s="819"/>
      <c r="H4" s="67"/>
      <c r="I4" s="67"/>
      <c r="J4" s="67"/>
      <c r="K4" s="68"/>
      <c r="L4" s="128"/>
      <c r="M4" s="66"/>
      <c r="N4" s="66"/>
      <c r="O4" s="543"/>
      <c r="P4" s="34" t="s">
        <v>65</v>
      </c>
      <c r="Q4" s="69"/>
      <c r="R4" s="444"/>
      <c r="S4" s="407"/>
    </row>
    <row r="5" spans="2:127">
      <c r="B5" s="74"/>
      <c r="C5" s="74"/>
      <c r="D5" s="32" t="s">
        <v>5</v>
      </c>
      <c r="E5" s="49" t="s">
        <v>41</v>
      </c>
      <c r="F5" s="55" t="s">
        <v>38</v>
      </c>
      <c r="G5" s="55" t="s">
        <v>217</v>
      </c>
      <c r="H5" s="55" t="s">
        <v>37</v>
      </c>
      <c r="I5" s="55" t="s">
        <v>381</v>
      </c>
      <c r="J5" s="55" t="s">
        <v>35</v>
      </c>
      <c r="K5" s="50"/>
      <c r="L5" s="5" t="s">
        <v>51</v>
      </c>
      <c r="M5" s="52" t="s">
        <v>9</v>
      </c>
      <c r="O5" s="6" t="s">
        <v>8</v>
      </c>
      <c r="P5" s="53" t="s">
        <v>46</v>
      </c>
      <c r="Q5" s="206" t="s">
        <v>9</v>
      </c>
      <c r="R5" s="814"/>
      <c r="S5" s="407"/>
    </row>
    <row r="6" spans="2:127">
      <c r="B6" s="75"/>
      <c r="C6" s="75" t="s">
        <v>84</v>
      </c>
      <c r="D6" s="92" t="s">
        <v>39</v>
      </c>
      <c r="E6" s="93" t="s">
        <v>39</v>
      </c>
      <c r="F6" s="93" t="s">
        <v>42</v>
      </c>
      <c r="G6" s="93" t="s">
        <v>42</v>
      </c>
      <c r="H6" s="93" t="s">
        <v>42</v>
      </c>
      <c r="I6" s="93" t="s">
        <v>44</v>
      </c>
      <c r="J6" s="93" t="s">
        <v>44</v>
      </c>
      <c r="K6" s="51" t="s">
        <v>4</v>
      </c>
      <c r="L6" s="5" t="s">
        <v>48</v>
      </c>
      <c r="M6" s="52" t="s">
        <v>50</v>
      </c>
      <c r="N6" s="52" t="s">
        <v>9</v>
      </c>
      <c r="O6" s="6" t="s">
        <v>3</v>
      </c>
      <c r="P6" s="53" t="s">
        <v>47</v>
      </c>
      <c r="Q6" s="206" t="s">
        <v>4</v>
      </c>
      <c r="R6" s="814"/>
      <c r="S6" s="407"/>
    </row>
    <row r="7" spans="2:127" s="2" customFormat="1">
      <c r="B7" s="386" t="s">
        <v>52</v>
      </c>
      <c r="C7" s="54" t="s">
        <v>41</v>
      </c>
      <c r="D7" s="58" t="s">
        <v>40</v>
      </c>
      <c r="E7" s="55" t="s">
        <v>40</v>
      </c>
      <c r="F7" s="55" t="s">
        <v>43</v>
      </c>
      <c r="G7" s="55" t="s">
        <v>43</v>
      </c>
      <c r="H7" s="55" t="s">
        <v>43</v>
      </c>
      <c r="I7" s="55" t="s">
        <v>45</v>
      </c>
      <c r="J7" s="55" t="s">
        <v>45</v>
      </c>
      <c r="K7" s="56" t="s">
        <v>6</v>
      </c>
      <c r="L7" s="135" t="s">
        <v>49</v>
      </c>
      <c r="M7" s="58" t="s">
        <v>49</v>
      </c>
      <c r="N7" s="58" t="s">
        <v>63</v>
      </c>
      <c r="O7" s="57" t="s">
        <v>6</v>
      </c>
      <c r="P7" s="59" t="s">
        <v>7</v>
      </c>
      <c r="Q7" s="206" t="s">
        <v>1</v>
      </c>
      <c r="R7" s="1201" t="s">
        <v>19</v>
      </c>
      <c r="S7" s="1203" t="s">
        <v>80</v>
      </c>
      <c r="T7" s="1"/>
      <c r="U7" s="41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row>
    <row r="8" spans="2:127" s="91" customFormat="1" ht="15" customHeight="1">
      <c r="B8" s="5" t="str">
        <f>Periode!B8</f>
        <v>Ruben Hellemons</v>
      </c>
      <c r="C8" s="5" t="str">
        <f>Periode!G8</f>
        <v>124 (4wk)</v>
      </c>
      <c r="D8" s="61">
        <v>5</v>
      </c>
      <c r="E8" s="60">
        <v>40</v>
      </c>
      <c r="F8" s="60"/>
      <c r="G8" s="60"/>
      <c r="H8" s="60"/>
      <c r="I8" s="60"/>
      <c r="J8" s="60"/>
      <c r="K8" s="106">
        <f>(Periode!BB8*E8/40)+((F8+H8+I8)*Periode!BD8/40)+(J8*Periode!BF8/40)+(G8*Periode!BE8/40)</f>
        <v>721.11999999999989</v>
      </c>
      <c r="L8" s="132"/>
      <c r="M8" s="61"/>
      <c r="N8" s="136"/>
      <c r="O8" s="42"/>
      <c r="P8" s="73"/>
      <c r="Q8" s="43">
        <f>K8+O8+P8</f>
        <v>721.11999999999989</v>
      </c>
      <c r="R8" s="560"/>
      <c r="S8" s="241" t="s">
        <v>216</v>
      </c>
      <c r="U8" s="407"/>
    </row>
    <row r="9" spans="2:127" s="91" customFormat="1">
      <c r="B9" s="5"/>
      <c r="C9" s="5"/>
      <c r="D9" s="61"/>
      <c r="E9" s="60"/>
      <c r="F9" s="235"/>
      <c r="G9" s="426"/>
      <c r="H9" s="426"/>
      <c r="I9" s="426"/>
      <c r="J9" s="60"/>
      <c r="K9" s="106"/>
      <c r="L9" s="136"/>
      <c r="M9" s="136"/>
      <c r="N9" s="319"/>
      <c r="O9" s="42"/>
      <c r="P9" s="73"/>
      <c r="Q9" s="389"/>
      <c r="R9" s="1151"/>
      <c r="S9" s="241"/>
      <c r="U9" s="241"/>
    </row>
    <row r="10" spans="2:127" s="246" customFormat="1">
      <c r="B10" s="591"/>
      <c r="C10" s="591"/>
      <c r="D10" s="242"/>
      <c r="E10" s="461"/>
      <c r="F10" s="461"/>
      <c r="G10" s="461"/>
      <c r="H10" s="461"/>
      <c r="I10" s="461"/>
      <c r="J10" s="461"/>
      <c r="K10" s="106"/>
      <c r="L10" s="242"/>
      <c r="M10" s="242"/>
      <c r="O10" s="206"/>
      <c r="P10" s="614"/>
      <c r="Q10" s="43"/>
      <c r="R10" s="1202"/>
      <c r="S10" s="593"/>
      <c r="U10" s="241"/>
    </row>
    <row r="11" spans="2:127" s="246" customFormat="1" ht="15" customHeight="1">
      <c r="B11" s="242"/>
      <c r="C11" s="242"/>
      <c r="D11" s="243"/>
      <c r="E11" s="406"/>
      <c r="F11" s="406"/>
      <c r="G11" s="406"/>
      <c r="H11" s="406"/>
      <c r="I11" s="406"/>
      <c r="J11" s="406"/>
      <c r="K11" s="106"/>
      <c r="L11" s="243"/>
      <c r="M11" s="243"/>
      <c r="N11" s="610"/>
      <c r="O11" s="43"/>
      <c r="P11" s="612"/>
      <c r="Q11" s="43"/>
      <c r="R11" s="1202"/>
      <c r="S11" s="277"/>
      <c r="U11" s="241"/>
    </row>
    <row r="12" spans="2:127" s="91" customFormat="1" ht="15" customHeight="1">
      <c r="B12" s="5" t="str">
        <f>Periode!B12</f>
        <v>Andre Sintenie</v>
      </c>
      <c r="C12" s="5" t="str">
        <f>Periode!G12</f>
        <v>32 (4wk)</v>
      </c>
      <c r="D12" s="61">
        <v>4</v>
      </c>
      <c r="E12" s="60">
        <v>32</v>
      </c>
      <c r="F12" s="60"/>
      <c r="G12" s="60"/>
      <c r="H12" s="60"/>
      <c r="I12" s="60"/>
      <c r="J12" s="60"/>
      <c r="K12" s="106">
        <f>(Periode!BB12*E12/40)+((F12+H12+I12)*Periode!BD12/40)+(J12*Periode!BF12/40)+(G12*Periode!BE12/40)</f>
        <v>524.12800000000004</v>
      </c>
      <c r="L12" s="132"/>
      <c r="M12" s="61"/>
      <c r="N12" s="136"/>
      <c r="O12" s="42"/>
      <c r="P12" s="73"/>
      <c r="Q12" s="43">
        <f>K12+O12+P12</f>
        <v>524.12800000000004</v>
      </c>
      <c r="R12" s="560" t="s">
        <v>461</v>
      </c>
      <c r="S12" s="241" t="s">
        <v>164</v>
      </c>
      <c r="U12" s="407"/>
    </row>
    <row r="13" spans="2:127" s="87" customFormat="1" ht="15" customHeight="1">
      <c r="B13" s="172">
        <f>Periode!B13</f>
        <v>0</v>
      </c>
      <c r="C13" s="172">
        <f>Periode!H13</f>
        <v>0</v>
      </c>
      <c r="D13" s="61"/>
      <c r="E13" s="60"/>
      <c r="F13" s="60"/>
      <c r="G13" s="60"/>
      <c r="H13" s="348"/>
      <c r="I13" s="348"/>
      <c r="J13" s="60"/>
      <c r="K13" s="106"/>
      <c r="L13" s="132"/>
      <c r="M13" s="61"/>
      <c r="N13" s="611"/>
      <c r="O13" s="42"/>
      <c r="P13" s="73"/>
      <c r="Q13" s="304">
        <f t="shared" ref="Q13" si="0">K13+O13+P13</f>
        <v>0</v>
      </c>
      <c r="R13" s="1151"/>
      <c r="S13" s="409"/>
      <c r="U13" s="407"/>
    </row>
    <row r="14" spans="2:127" s="91" customFormat="1" ht="15" customHeight="1">
      <c r="B14" s="5"/>
      <c r="C14" s="5"/>
      <c r="D14" s="61"/>
      <c r="E14" s="60"/>
      <c r="F14" s="60"/>
      <c r="G14" s="60"/>
      <c r="H14" s="60"/>
      <c r="I14" s="60"/>
      <c r="J14" s="60"/>
      <c r="K14" s="106"/>
      <c r="L14" s="132"/>
      <c r="M14" s="61"/>
      <c r="N14" s="136"/>
      <c r="O14" s="42"/>
      <c r="P14" s="73"/>
      <c r="Q14" s="395"/>
      <c r="R14" s="560"/>
      <c r="S14" s="241"/>
      <c r="U14" s="407"/>
    </row>
    <row r="15" spans="2:127" s="91" customFormat="1" ht="15" customHeight="1">
      <c r="B15" s="5" t="str">
        <f>Periode!B15</f>
        <v xml:space="preserve">Dennis Aarts </v>
      </c>
      <c r="C15" s="5" t="str">
        <f>Periode!G15</f>
        <v>0</v>
      </c>
      <c r="D15" s="61"/>
      <c r="E15" s="60"/>
      <c r="F15" s="60"/>
      <c r="G15" s="60"/>
      <c r="H15" s="60"/>
      <c r="I15" s="60">
        <v>32</v>
      </c>
      <c r="J15" s="60"/>
      <c r="K15" s="106">
        <f>(Periode!BB15*E15/40)+((F15+H15+I15)*Periode!BD15/40)+(J15*Periode!BF15/40)+(G15*Periode!BE15/40)</f>
        <v>548.34912000000008</v>
      </c>
      <c r="L15" s="132"/>
      <c r="M15" s="61"/>
      <c r="N15" s="136"/>
      <c r="O15" s="42"/>
      <c r="P15" s="73"/>
      <c r="Q15" s="389">
        <f>K15+O15+P15</f>
        <v>548.34912000000008</v>
      </c>
      <c r="R15" s="722" t="s">
        <v>254</v>
      </c>
      <c r="S15" s="241" t="s">
        <v>251</v>
      </c>
      <c r="U15" s="407"/>
    </row>
    <row r="16" spans="2:127" s="246" customFormat="1" ht="15" customHeight="1">
      <c r="B16" s="5"/>
      <c r="C16" s="242"/>
      <c r="D16" s="61"/>
      <c r="E16" s="60"/>
      <c r="F16" s="60"/>
      <c r="G16" s="60"/>
      <c r="H16" s="60"/>
      <c r="I16" s="60"/>
      <c r="J16" s="60"/>
      <c r="K16" s="106"/>
      <c r="L16" s="132"/>
      <c r="M16" s="61"/>
      <c r="N16" s="243"/>
      <c r="O16" s="42"/>
      <c r="P16" s="73"/>
      <c r="Q16" s="395"/>
      <c r="R16" s="1206" t="s">
        <v>528</v>
      </c>
      <c r="S16" s="277"/>
      <c r="U16" s="407"/>
    </row>
    <row r="17" spans="2:30" s="246" customFormat="1" ht="15" customHeight="1">
      <c r="B17" s="5" t="str">
        <f>Periode!B17</f>
        <v>Kay Sanders</v>
      </c>
      <c r="C17" s="242"/>
      <c r="D17" s="243"/>
      <c r="E17" s="406"/>
      <c r="F17" s="406"/>
      <c r="G17" s="406"/>
      <c r="H17" s="406"/>
      <c r="I17" s="406"/>
      <c r="J17" s="406"/>
      <c r="K17" s="244"/>
      <c r="L17" s="243"/>
      <c r="M17" s="243"/>
      <c r="N17" s="243"/>
      <c r="O17" s="42"/>
      <c r="P17" s="245"/>
      <c r="Q17" s="395"/>
      <c r="R17" s="722"/>
      <c r="S17" s="277"/>
      <c r="U17" s="277"/>
    </row>
    <row r="18" spans="2:30" s="91" customFormat="1" ht="15" customHeight="1">
      <c r="B18" s="5"/>
      <c r="C18" s="5"/>
      <c r="D18" s="61"/>
      <c r="E18" s="60"/>
      <c r="F18" s="60"/>
      <c r="G18" s="60"/>
      <c r="H18" s="60"/>
      <c r="I18" s="60"/>
      <c r="J18" s="60"/>
      <c r="K18" s="106"/>
      <c r="L18" s="132"/>
      <c r="M18" s="61"/>
      <c r="N18" s="136"/>
      <c r="O18" s="42"/>
      <c r="P18" s="73"/>
      <c r="Q18" s="43"/>
      <c r="R18" s="1205"/>
      <c r="S18" s="241"/>
      <c r="U18" s="407"/>
    </row>
    <row r="19" spans="2:30" s="246" customFormat="1" ht="15" customHeight="1">
      <c r="B19" s="242"/>
      <c r="C19" s="242"/>
      <c r="D19" s="61"/>
      <c r="E19" s="60"/>
      <c r="F19" s="60"/>
      <c r="G19" s="60"/>
      <c r="H19" s="60"/>
      <c r="I19" s="60"/>
      <c r="J19" s="60"/>
      <c r="K19" s="106"/>
      <c r="L19" s="279"/>
      <c r="M19" s="61"/>
      <c r="N19" s="243"/>
      <c r="O19" s="42"/>
      <c r="P19" s="73"/>
      <c r="Q19" s="395"/>
      <c r="R19" s="722"/>
      <c r="S19" s="397"/>
      <c r="T19" s="342"/>
      <c r="U19" s="413"/>
      <c r="V19" s="262"/>
      <c r="W19" s="262"/>
      <c r="X19" s="262"/>
      <c r="Y19" s="262"/>
      <c r="Z19" s="262"/>
      <c r="AA19" s="262"/>
      <c r="AB19" s="262"/>
      <c r="AC19" s="262"/>
      <c r="AD19" s="262"/>
    </row>
    <row r="20" spans="2:30" s="91" customFormat="1" ht="15" customHeight="1">
      <c r="B20" s="5"/>
      <c r="C20" s="5"/>
      <c r="D20" s="61"/>
      <c r="E20" s="60"/>
      <c r="F20" s="60"/>
      <c r="G20" s="60"/>
      <c r="H20" s="60"/>
      <c r="I20" s="60"/>
      <c r="J20" s="60"/>
      <c r="K20" s="106"/>
      <c r="L20" s="132"/>
      <c r="M20" s="61"/>
      <c r="N20" s="136"/>
      <c r="O20" s="42"/>
      <c r="P20" s="73"/>
      <c r="Q20" s="43"/>
      <c r="R20" s="560"/>
      <c r="S20" s="241"/>
      <c r="U20" s="407"/>
    </row>
    <row r="21" spans="2:30" s="91" customFormat="1" ht="15" customHeight="1">
      <c r="B21" s="5"/>
      <c r="C21" s="5"/>
      <c r="D21" s="61"/>
      <c r="E21" s="60"/>
      <c r="F21" s="60"/>
      <c r="G21" s="60"/>
      <c r="H21" s="60"/>
      <c r="I21" s="60"/>
      <c r="J21" s="60"/>
      <c r="K21" s="106"/>
      <c r="L21" s="132"/>
      <c r="M21" s="60"/>
      <c r="N21" s="442"/>
      <c r="O21" s="42"/>
      <c r="P21" s="73"/>
      <c r="Q21" s="43"/>
      <c r="R21" s="563"/>
      <c r="S21" s="241"/>
      <c r="U21" s="343"/>
      <c r="W21" s="314"/>
    </row>
    <row r="22" spans="2:30" s="246" customFormat="1" ht="15" customHeight="1">
      <c r="B22" s="242"/>
      <c r="C22" s="242"/>
      <c r="D22" s="243"/>
      <c r="E22" s="406"/>
      <c r="F22" s="406"/>
      <c r="G22" s="406"/>
      <c r="H22" s="406"/>
      <c r="I22" s="406"/>
      <c r="J22" s="60"/>
      <c r="K22" s="106"/>
      <c r="L22" s="243"/>
      <c r="M22" s="243"/>
      <c r="N22" s="243"/>
      <c r="O22" s="42"/>
      <c r="P22" s="245"/>
      <c r="Q22" s="395"/>
      <c r="R22" s="1206"/>
      <c r="S22" s="277"/>
      <c r="U22" s="412"/>
      <c r="W22" s="311"/>
    </row>
    <row r="23" spans="2:30" s="91" customFormat="1" ht="15" customHeight="1">
      <c r="B23" s="5" t="str">
        <f>Periode!B23</f>
        <v>Frank Stouthart</v>
      </c>
      <c r="C23" s="5" t="str">
        <f>Periode!G23</f>
        <v>32 (4wk)</v>
      </c>
      <c r="D23" s="61">
        <v>5</v>
      </c>
      <c r="E23" s="60">
        <v>40</v>
      </c>
      <c r="F23" s="60"/>
      <c r="G23" s="60"/>
      <c r="H23" s="60"/>
      <c r="I23" s="60"/>
      <c r="J23" s="60"/>
      <c r="K23" s="106">
        <f>(Periode!BB23*E23/40)+((F23+H23+I23)*Periode!BD23/40)+(J23*Periode!BF23/40)+(G23*Periode!BE23/40)</f>
        <v>706.2800000000002</v>
      </c>
      <c r="L23" s="615">
        <v>34</v>
      </c>
      <c r="M23" s="61"/>
      <c r="N23" s="136">
        <f>(L23*D23*2)+M23</f>
        <v>340</v>
      </c>
      <c r="O23" s="42">
        <f>((L23*2*D23)+M23)*0.28</f>
        <v>95.2</v>
      </c>
      <c r="P23" s="73"/>
      <c r="Q23" s="43">
        <f t="shared" ref="Q23" si="1">K23+O23+P23</f>
        <v>801.48000000000025</v>
      </c>
      <c r="R23" s="560"/>
      <c r="S23" s="241" t="s">
        <v>378</v>
      </c>
      <c r="U23" s="343"/>
      <c r="W23" s="314"/>
    </row>
    <row r="24" spans="2:30" s="91" customFormat="1" ht="15" customHeight="1">
      <c r="B24" s="5"/>
      <c r="C24" s="5"/>
      <c r="D24" s="61"/>
      <c r="E24" s="60"/>
      <c r="F24" s="60"/>
      <c r="G24" s="60"/>
      <c r="H24" s="60"/>
      <c r="I24" s="60"/>
      <c r="J24" s="60"/>
      <c r="K24" s="106"/>
      <c r="L24" s="132"/>
      <c r="M24" s="61"/>
      <c r="N24" s="136"/>
      <c r="O24" s="42"/>
      <c r="P24" s="73"/>
      <c r="Q24" s="43"/>
      <c r="R24" s="723"/>
      <c r="S24" s="241"/>
      <c r="U24" s="343"/>
      <c r="W24" s="314"/>
    </row>
    <row r="25" spans="2:30" s="91" customFormat="1" ht="15" customHeight="1">
      <c r="B25" s="5"/>
      <c r="C25" s="5"/>
      <c r="D25" s="61"/>
      <c r="E25" s="60"/>
      <c r="F25" s="60"/>
      <c r="G25" s="60"/>
      <c r="H25" s="60"/>
      <c r="I25" s="60"/>
      <c r="J25" s="60"/>
      <c r="K25" s="106"/>
      <c r="L25" s="132"/>
      <c r="M25" s="61"/>
      <c r="N25" s="136"/>
      <c r="O25" s="834"/>
      <c r="P25" s="73"/>
      <c r="Q25" s="43"/>
      <c r="R25" s="723"/>
      <c r="S25" s="241"/>
      <c r="U25" s="343"/>
      <c r="W25" s="314"/>
    </row>
    <row r="26" spans="2:30" s="91" customFormat="1" ht="15" customHeight="1">
      <c r="B26" s="5" t="str">
        <f>Periode!B26</f>
        <v>Roy Rubeling</v>
      </c>
      <c r="C26" s="5" t="str">
        <f>Periode!G26</f>
        <v>0</v>
      </c>
      <c r="D26" s="61">
        <v>4</v>
      </c>
      <c r="E26" s="60">
        <v>32</v>
      </c>
      <c r="F26" s="60"/>
      <c r="G26" s="60"/>
      <c r="H26" s="60"/>
      <c r="I26" s="60"/>
      <c r="J26" s="60"/>
      <c r="K26" s="106">
        <f>(Periode!BB26*E26/40)+((F26+H26+I26)*Periode!BD26/40)+(J26*Periode!BF26/40)+(G26*Periode!BE26/40)</f>
        <v>600</v>
      </c>
      <c r="L26" s="615">
        <v>61</v>
      </c>
      <c r="M26" s="61">
        <f>20*4</f>
        <v>80</v>
      </c>
      <c r="N26" s="136">
        <f>(L26*D26*2)+M26</f>
        <v>568</v>
      </c>
      <c r="O26" s="42">
        <f>((L26*2*D26)+M26)*0.28</f>
        <v>159.04000000000002</v>
      </c>
      <c r="P26" s="73"/>
      <c r="Q26" s="43">
        <f t="shared" ref="Q26" si="2">K26+O26+P26</f>
        <v>759.04</v>
      </c>
      <c r="R26" s="560" t="s">
        <v>428</v>
      </c>
      <c r="S26" s="241" t="s">
        <v>390</v>
      </c>
      <c r="U26" s="343"/>
      <c r="W26" s="314"/>
    </row>
    <row r="27" spans="2:30" s="246" customFormat="1" ht="15" customHeight="1">
      <c r="B27" s="242"/>
      <c r="C27" s="242"/>
      <c r="D27" s="61"/>
      <c r="E27" s="60"/>
      <c r="F27" s="60"/>
      <c r="G27" s="60"/>
      <c r="H27" s="60"/>
      <c r="I27" s="60"/>
      <c r="J27" s="60"/>
      <c r="K27" s="106"/>
      <c r="L27" s="132"/>
      <c r="M27" s="61"/>
      <c r="N27" s="243"/>
      <c r="O27" s="835"/>
      <c r="P27" s="73"/>
      <c r="Q27" s="395"/>
      <c r="R27" s="1217"/>
      <c r="S27" s="277"/>
      <c r="U27" s="412"/>
    </row>
    <row r="28" spans="2:30" s="246" customFormat="1" ht="15" customHeight="1">
      <c r="B28" s="242"/>
      <c r="C28" s="242"/>
      <c r="D28" s="61"/>
      <c r="E28" s="60"/>
      <c r="F28" s="60"/>
      <c r="G28" s="60"/>
      <c r="H28" s="60"/>
      <c r="I28" s="60"/>
      <c r="J28" s="60"/>
      <c r="K28" s="106"/>
      <c r="L28" s="132"/>
      <c r="M28" s="61"/>
      <c r="N28" s="243"/>
      <c r="O28" s="42"/>
      <c r="P28" s="73"/>
      <c r="Q28" s="395"/>
      <c r="R28" s="814"/>
      <c r="S28" s="277"/>
      <c r="U28" s="412"/>
    </row>
    <row r="29" spans="2:30" s="91" customFormat="1" ht="15" customHeight="1">
      <c r="B29" s="5"/>
      <c r="C29" s="5"/>
      <c r="D29" s="61"/>
      <c r="E29" s="60"/>
      <c r="F29" s="60"/>
      <c r="G29" s="60"/>
      <c r="H29" s="60"/>
      <c r="I29" s="60"/>
      <c r="J29" s="60"/>
      <c r="K29" s="106"/>
      <c r="L29" s="132"/>
      <c r="M29" s="136"/>
      <c r="N29" s="136"/>
      <c r="O29" s="42"/>
      <c r="P29" s="73"/>
      <c r="Q29" s="43"/>
      <c r="R29" s="722"/>
      <c r="S29" s="241"/>
      <c r="U29" s="343"/>
    </row>
    <row r="30" spans="2:30" s="91" customFormat="1" ht="15" customHeight="1">
      <c r="B30" s="5"/>
      <c r="C30" s="5"/>
      <c r="D30" s="61"/>
      <c r="E30" s="60"/>
      <c r="F30" s="60"/>
      <c r="G30" s="60"/>
      <c r="H30" s="60"/>
      <c r="I30" s="60"/>
      <c r="J30" s="60"/>
      <c r="K30" s="106"/>
      <c r="L30" s="132"/>
      <c r="M30" s="61"/>
      <c r="N30" s="136"/>
      <c r="O30" s="42"/>
      <c r="P30" s="73"/>
      <c r="Q30" s="43"/>
      <c r="R30" s="814"/>
      <c r="S30" s="241"/>
      <c r="U30" s="343"/>
    </row>
    <row r="31" spans="2:30" s="246" customFormat="1" ht="15" customHeight="1">
      <c r="B31" s="242"/>
      <c r="C31" s="242"/>
      <c r="D31" s="61"/>
      <c r="E31" s="60"/>
      <c r="F31" s="60"/>
      <c r="G31" s="60"/>
      <c r="H31" s="60"/>
      <c r="I31" s="60"/>
      <c r="J31" s="60"/>
      <c r="K31" s="106"/>
      <c r="L31" s="132"/>
      <c r="M31" s="61"/>
      <c r="N31" s="243"/>
      <c r="O31" s="42"/>
      <c r="P31" s="73"/>
      <c r="Q31" s="395"/>
      <c r="R31" s="814"/>
      <c r="S31" s="277"/>
      <c r="T31" s="246" t="s">
        <v>142</v>
      </c>
      <c r="U31" s="412"/>
    </row>
    <row r="32" spans="2:30" s="91" customFormat="1" ht="15" customHeight="1">
      <c r="B32" s="964"/>
      <c r="C32" s="5"/>
      <c r="D32" s="61"/>
      <c r="E32" s="60"/>
      <c r="F32" s="60"/>
      <c r="G32" s="60"/>
      <c r="H32" s="60"/>
      <c r="I32" s="60"/>
      <c r="J32" s="60"/>
      <c r="K32" s="106"/>
      <c r="L32" s="132"/>
      <c r="M32" s="136"/>
      <c r="N32" s="136"/>
      <c r="O32" s="42"/>
      <c r="P32" s="73"/>
      <c r="Q32" s="43"/>
      <c r="R32" s="1177"/>
      <c r="S32" s="241"/>
      <c r="U32" s="343"/>
    </row>
    <row r="33" spans="1:23" s="91" customFormat="1" ht="15" customHeight="1">
      <c r="B33" s="5" t="str">
        <f>Periode!B33</f>
        <v>Marco Govers</v>
      </c>
      <c r="C33" s="5" t="str">
        <f>Periode!G33</f>
        <v>32 (4wk)</v>
      </c>
      <c r="D33" s="61">
        <v>5</v>
      </c>
      <c r="E33" s="60">
        <v>40</v>
      </c>
      <c r="F33" s="60"/>
      <c r="G33" s="60"/>
      <c r="H33" s="60"/>
      <c r="I33" s="60"/>
      <c r="J33" s="60"/>
      <c r="K33" s="106">
        <f>(Periode!BB33*E33/40)+((F33+H33+I33)*Periode!BD33/40)+(J33*Periode!BF33/40)+(G33*Periode!BE33/40)</f>
        <v>775.21</v>
      </c>
      <c r="L33" s="132">
        <v>39</v>
      </c>
      <c r="M33" s="136"/>
      <c r="N33" s="136">
        <f>(L33*D33*2)+M33</f>
        <v>390</v>
      </c>
      <c r="O33" s="42">
        <f>((L33*2*D33)+M33)*0.28</f>
        <v>109.20000000000002</v>
      </c>
      <c r="P33" s="73"/>
      <c r="Q33" s="43">
        <f t="shared" ref="Q33" si="3">K33+O33+P33</f>
        <v>884.41000000000008</v>
      </c>
      <c r="R33" s="722"/>
      <c r="S33" s="241" t="s">
        <v>436</v>
      </c>
      <c r="U33" s="343"/>
    </row>
    <row r="34" spans="1:23" s="246" customFormat="1" ht="15" customHeight="1">
      <c r="B34" s="242"/>
      <c r="C34" s="242"/>
      <c r="D34" s="61"/>
      <c r="E34" s="60"/>
      <c r="F34" s="60"/>
      <c r="G34" s="60"/>
      <c r="H34" s="60"/>
      <c r="I34" s="60"/>
      <c r="J34" s="60"/>
      <c r="K34" s="106"/>
      <c r="L34" s="132"/>
      <c r="M34" s="61"/>
      <c r="N34" s="243"/>
      <c r="O34" s="42"/>
      <c r="P34" s="73"/>
      <c r="Q34" s="395"/>
      <c r="R34" s="722"/>
      <c r="S34" s="277"/>
      <c r="U34" s="412"/>
    </row>
    <row r="35" spans="1:23" s="91" customFormat="1" ht="15" customHeight="1">
      <c r="B35" s="5" t="str">
        <f>Periode!B35</f>
        <v>Onno de Vries</v>
      </c>
      <c r="C35" s="5" t="str">
        <f>Periode!G35</f>
        <v>124 (4wk)</v>
      </c>
      <c r="D35" s="61">
        <v>5</v>
      </c>
      <c r="E35" s="60">
        <v>40</v>
      </c>
      <c r="F35" s="60"/>
      <c r="G35" s="60"/>
      <c r="H35" s="60"/>
      <c r="I35" s="60"/>
      <c r="J35" s="60"/>
      <c r="K35" s="106">
        <f>(Periode!BB35*E35/40)+((F35+H35+I35)*Periode!BD35/40)+(J35*Periode!BF35/40)+(G35*Periode!BE35/40)</f>
        <v>633.35500000000002</v>
      </c>
      <c r="L35" s="132">
        <v>10</v>
      </c>
      <c r="M35" s="61"/>
      <c r="N35" s="136">
        <f>(L35*D35*2)+M35</f>
        <v>100</v>
      </c>
      <c r="O35" s="42">
        <f>((L35*2*D35)+M35)*0.28</f>
        <v>28.000000000000004</v>
      </c>
      <c r="P35" s="73"/>
      <c r="Q35" s="43">
        <f t="shared" ref="Q35" si="4">K35+O35+P35</f>
        <v>661.35500000000002</v>
      </c>
      <c r="R35" s="560"/>
      <c r="S35" s="241" t="s">
        <v>185</v>
      </c>
      <c r="U35" s="343"/>
    </row>
    <row r="36" spans="1:23" s="246" customFormat="1" ht="15" customHeight="1">
      <c r="B36" s="242"/>
      <c r="C36" s="242"/>
      <c r="D36" s="61"/>
      <c r="E36" s="60"/>
      <c r="F36" s="60"/>
      <c r="G36" s="60"/>
      <c r="H36" s="60"/>
      <c r="I36" s="60"/>
      <c r="J36" s="60"/>
      <c r="K36" s="106"/>
      <c r="L36" s="132"/>
      <c r="M36" s="61"/>
      <c r="N36" s="243"/>
      <c r="O36" s="42"/>
      <c r="P36" s="73"/>
      <c r="Q36" s="395"/>
      <c r="R36" s="1208"/>
      <c r="S36" s="277"/>
      <c r="U36" s="412"/>
    </row>
    <row r="37" spans="1:23" s="246" customFormat="1" ht="15" customHeight="1">
      <c r="B37" s="242"/>
      <c r="C37" s="242"/>
      <c r="D37" s="61"/>
      <c r="E37" s="60"/>
      <c r="F37" s="60"/>
      <c r="G37" s="60"/>
      <c r="H37" s="60"/>
      <c r="I37" s="60"/>
      <c r="J37" s="60"/>
      <c r="K37" s="106"/>
      <c r="L37" s="132"/>
      <c r="M37" s="61"/>
      <c r="N37" s="243"/>
      <c r="O37" s="42"/>
      <c r="P37" s="73"/>
      <c r="Q37" s="395"/>
      <c r="R37" s="1208"/>
      <c r="S37" s="277"/>
      <c r="U37" s="412"/>
    </row>
    <row r="38" spans="1:23" s="91" customFormat="1" ht="14.25" customHeight="1">
      <c r="B38" s="5"/>
      <c r="C38" s="5"/>
      <c r="D38" s="61"/>
      <c r="E38" s="60"/>
      <c r="F38" s="60"/>
      <c r="G38" s="60"/>
      <c r="H38" s="60"/>
      <c r="I38" s="60"/>
      <c r="J38" s="60"/>
      <c r="K38" s="106"/>
      <c r="L38" s="132"/>
      <c r="M38" s="61"/>
      <c r="N38" s="136"/>
      <c r="O38" s="42"/>
      <c r="P38" s="73"/>
      <c r="Q38" s="43"/>
      <c r="R38" s="722"/>
      <c r="S38" s="241"/>
      <c r="U38" s="343"/>
    </row>
    <row r="39" spans="1:23" s="91" customFormat="1" ht="15" customHeight="1">
      <c r="B39" s="5" t="str">
        <f>Periode!B39</f>
        <v>Jan Levering</v>
      </c>
      <c r="C39" s="5" t="str">
        <f>Periode!G39</f>
        <v>32 (4wk)</v>
      </c>
      <c r="D39" s="61"/>
      <c r="E39" s="60"/>
      <c r="F39" s="60"/>
      <c r="G39" s="60"/>
      <c r="H39" s="235"/>
      <c r="I39" s="235"/>
      <c r="J39" s="1176"/>
      <c r="K39" s="106">
        <f>(Periode!BB39*E39/40)+((F39+H39+I39)*Periode!BD39/40)+(J39*Periode!BF39/40)+(G39*Periode!BE39/40)</f>
        <v>0</v>
      </c>
      <c r="L39" s="136"/>
      <c r="M39" s="136"/>
      <c r="N39" s="136"/>
      <c r="O39" s="42"/>
      <c r="P39" s="73">
        <v>143.37</v>
      </c>
      <c r="Q39" s="43">
        <f>K39+O39+P39</f>
        <v>143.37</v>
      </c>
      <c r="R39" s="563" t="s">
        <v>470</v>
      </c>
      <c r="S39" s="241" t="s">
        <v>186</v>
      </c>
      <c r="T39" s="674"/>
      <c r="U39" s="673"/>
    </row>
    <row r="40" spans="1:23" s="87" customFormat="1" ht="15" customHeight="1">
      <c r="A40" s="246"/>
      <c r="B40" s="172"/>
      <c r="C40" s="172"/>
      <c r="D40" s="61"/>
      <c r="E40" s="60"/>
      <c r="F40" s="60"/>
      <c r="G40" s="60"/>
      <c r="H40" s="60"/>
      <c r="I40" s="60"/>
      <c r="J40" s="60"/>
      <c r="K40" s="106"/>
      <c r="L40" s="132"/>
      <c r="M40" s="61"/>
      <c r="N40" s="243"/>
      <c r="O40" s="42"/>
      <c r="P40" s="73"/>
      <c r="Q40" s="395"/>
      <c r="R40" s="560"/>
      <c r="S40" s="409"/>
      <c r="T40" s="343"/>
      <c r="U40" s="390"/>
    </row>
    <row r="41" spans="1:23" s="87" customFormat="1" ht="15" customHeight="1">
      <c r="A41" s="246"/>
      <c r="B41" s="172"/>
      <c r="C41" s="172"/>
      <c r="D41" s="61"/>
      <c r="E41" s="60"/>
      <c r="F41" s="60"/>
      <c r="G41" s="60"/>
      <c r="H41" s="60"/>
      <c r="I41" s="60"/>
      <c r="J41" s="60"/>
      <c r="K41" s="106"/>
      <c r="L41" s="132"/>
      <c r="M41" s="61"/>
      <c r="N41" s="243"/>
      <c r="O41" s="42"/>
      <c r="P41" s="73"/>
      <c r="Q41" s="395"/>
      <c r="R41" s="1151"/>
      <c r="S41" s="390"/>
      <c r="U41" s="409"/>
    </row>
    <row r="42" spans="1:23" s="91" customFormat="1" ht="15" customHeight="1">
      <c r="B42" s="5" t="str">
        <f>Periode!B42</f>
        <v>Alex van der Laan</v>
      </c>
      <c r="C42" s="5" t="str">
        <f>Periode!G42</f>
        <v>32 (wk)</v>
      </c>
      <c r="D42" s="61"/>
      <c r="E42" s="60"/>
      <c r="F42" s="60">
        <v>40</v>
      </c>
      <c r="G42" s="60"/>
      <c r="H42" s="60"/>
      <c r="I42" s="60"/>
      <c r="J42" s="60"/>
      <c r="K42" s="106">
        <f>(Periode!BB42*E42/40)+((F42+H42+I42)*Periode!BD42/40)+(J42*Periode!BF42/40)+(G42*Periode!BE42/40)</f>
        <v>655.82550000000003</v>
      </c>
      <c r="L42" s="132"/>
      <c r="M42" s="61"/>
      <c r="N42" s="136"/>
      <c r="O42" s="42"/>
      <c r="P42" s="73"/>
      <c r="Q42" s="43">
        <f>K42+O42+P42</f>
        <v>655.82550000000003</v>
      </c>
      <c r="R42" s="560" t="s">
        <v>527</v>
      </c>
      <c r="S42" s="241" t="s">
        <v>135</v>
      </c>
      <c r="U42" s="343"/>
    </row>
    <row r="43" spans="1:23" s="262" customFormat="1" ht="15" customHeight="1" thickBot="1">
      <c r="A43" s="246"/>
      <c r="B43" s="5"/>
      <c r="C43" s="5"/>
      <c r="D43" s="61"/>
      <c r="E43" s="60"/>
      <c r="F43" s="60"/>
      <c r="G43" s="60"/>
      <c r="H43" s="60"/>
      <c r="I43" s="60"/>
      <c r="J43" s="60"/>
      <c r="K43" s="106"/>
      <c r="L43" s="132"/>
      <c r="M43" s="61"/>
      <c r="N43" s="243"/>
      <c r="O43" s="42"/>
      <c r="P43" s="73"/>
      <c r="Q43" s="395"/>
      <c r="R43" s="1226" t="s">
        <v>521</v>
      </c>
      <c r="S43" s="397"/>
      <c r="U43" s="414"/>
    </row>
    <row r="44" spans="1:23" s="91" customFormat="1" ht="15" customHeight="1">
      <c r="B44" s="5"/>
      <c r="C44" s="5"/>
      <c r="D44" s="61"/>
      <c r="E44" s="60"/>
      <c r="F44" s="235"/>
      <c r="G44" s="235"/>
      <c r="H44" s="235"/>
      <c r="I44" s="235"/>
      <c r="J44" s="235"/>
      <c r="K44" s="106"/>
      <c r="L44" s="132"/>
      <c r="M44" s="61"/>
      <c r="N44" s="136"/>
      <c r="O44" s="42"/>
      <c r="P44" s="73"/>
      <c r="Q44" s="43"/>
      <c r="R44" s="962">
        <f>K46</f>
        <v>414.45781249999999</v>
      </c>
      <c r="S44" s="878" t="s">
        <v>175</v>
      </c>
      <c r="T44" s="825"/>
      <c r="U44" s="826"/>
      <c r="V44" s="825"/>
      <c r="W44" s="827"/>
    </row>
    <row r="45" spans="1:23" s="91" customFormat="1" ht="15" customHeight="1">
      <c r="B45" s="5"/>
      <c r="C45" s="5"/>
      <c r="D45" s="61"/>
      <c r="E45" s="60"/>
      <c r="F45" s="235"/>
      <c r="G45" s="235"/>
      <c r="H45" s="235"/>
      <c r="I45" s="235"/>
      <c r="J45" s="235"/>
      <c r="K45" s="106"/>
      <c r="L45" s="132"/>
      <c r="M45" s="61"/>
      <c r="N45" s="136"/>
      <c r="O45" s="42"/>
      <c r="P45" s="73"/>
      <c r="Q45" s="43"/>
      <c r="R45" s="962" t="s">
        <v>452</v>
      </c>
      <c r="S45" s="676" t="s">
        <v>151</v>
      </c>
      <c r="U45" s="343"/>
      <c r="W45" s="858"/>
    </row>
    <row r="46" spans="1:23" s="87" customFormat="1" ht="15" customHeight="1" thickBot="1">
      <c r="A46" s="91"/>
      <c r="B46" s="5" t="str">
        <f>Periode!B46</f>
        <v>Shafieq Asgarali</v>
      </c>
      <c r="C46" s="5" t="str">
        <f>Periode!G46</f>
        <v>32 (4wk)</v>
      </c>
      <c r="D46" s="61">
        <v>5</v>
      </c>
      <c r="E46" s="60">
        <v>33.5</v>
      </c>
      <c r="F46" s="60"/>
      <c r="G46" s="60"/>
      <c r="H46" s="60"/>
      <c r="I46" s="235"/>
      <c r="J46" s="60"/>
      <c r="K46" s="106">
        <f>(Periode!BB46*E46/40)+((F46+H46+I46)*Periode!BD46/40)+(J46*Periode!BF46/40)+(G46*Periode!BE46/40)</f>
        <v>414.45781249999999</v>
      </c>
      <c r="L46" s="132"/>
      <c r="M46" s="61"/>
      <c r="N46" s="136"/>
      <c r="O46" s="42"/>
      <c r="P46" s="1146">
        <f>(D46*Periode!AY46)</f>
        <v>58.25</v>
      </c>
      <c r="Q46" s="43">
        <f>K46+O46+P46</f>
        <v>472.70781249999999</v>
      </c>
      <c r="R46" s="962">
        <f>P46</f>
        <v>58.25</v>
      </c>
      <c r="S46" s="877" t="s">
        <v>258</v>
      </c>
      <c r="T46" s="671"/>
      <c r="U46" s="672"/>
      <c r="V46" s="671"/>
      <c r="W46" s="859"/>
    </row>
    <row r="47" spans="1:23" s="87" customFormat="1" ht="15" customHeight="1" thickBot="1">
      <c r="B47" s="130"/>
      <c r="C47" s="5"/>
      <c r="D47" s="61"/>
      <c r="E47" s="60"/>
      <c r="F47" s="60"/>
      <c r="G47" s="60"/>
      <c r="H47" s="60"/>
      <c r="I47" s="60"/>
      <c r="J47" s="60"/>
      <c r="K47" s="106"/>
      <c r="L47" s="132"/>
      <c r="M47" s="61"/>
      <c r="N47" s="61"/>
      <c r="O47" s="42"/>
      <c r="P47" s="396"/>
      <c r="Q47" s="43"/>
      <c r="R47" s="960" t="s">
        <v>434</v>
      </c>
      <c r="S47" s="676"/>
      <c r="T47" s="854"/>
      <c r="U47" s="855"/>
      <c r="V47" s="854"/>
      <c r="W47" s="854"/>
    </row>
    <row r="48" spans="1:23" s="91" customFormat="1" ht="15" customHeight="1">
      <c r="B48" s="5" t="str">
        <f>Periode!B48</f>
        <v>Sander van den Hoek</v>
      </c>
      <c r="C48" s="5" t="str">
        <f>Periode!G48</f>
        <v>32 (wk)</v>
      </c>
      <c r="D48" s="61">
        <v>5</v>
      </c>
      <c r="E48" s="60">
        <v>38</v>
      </c>
      <c r="F48" s="60"/>
      <c r="G48" s="60"/>
      <c r="H48" s="60"/>
      <c r="I48" s="60"/>
      <c r="J48" s="60"/>
      <c r="K48" s="106">
        <f>(Periode!BB48*E48/40)+((F48+H48+I48)*Periode!BD48/40)+(J48*Periode!BF48/40)+(G48*Periode!BE48/40)</f>
        <v>546.17875000000004</v>
      </c>
      <c r="L48" s="132">
        <v>28</v>
      </c>
      <c r="M48" s="136"/>
      <c r="N48" s="136">
        <f>(L48*D48*2)+M48</f>
        <v>280</v>
      </c>
      <c r="O48" s="561">
        <f>((L48*2*D48)+M48)*0.25</f>
        <v>70</v>
      </c>
      <c r="P48" s="1146">
        <f>(D48*Periode!AY48)</f>
        <v>56.8</v>
      </c>
      <c r="Q48" s="43">
        <f>K48+O48+P48+P49</f>
        <v>672.97874999999999</v>
      </c>
      <c r="R48" s="961">
        <f>Q48-R50</f>
        <v>302.50579807692333</v>
      </c>
      <c r="S48" s="878" t="s">
        <v>531</v>
      </c>
      <c r="T48" s="825"/>
      <c r="U48" s="826"/>
      <c r="V48" s="825"/>
      <c r="W48" s="827"/>
    </row>
    <row r="49" spans="2:30" s="87" customFormat="1" ht="15" customHeight="1">
      <c r="B49" s="172"/>
      <c r="C49" s="172"/>
      <c r="D49" s="61"/>
      <c r="E49" s="60"/>
      <c r="F49" s="60"/>
      <c r="G49" s="60"/>
      <c r="H49" s="60"/>
      <c r="I49" s="60"/>
      <c r="J49" s="60"/>
      <c r="K49" s="106"/>
      <c r="L49" s="132"/>
      <c r="M49" s="61"/>
      <c r="N49" s="61"/>
      <c r="O49" s="42"/>
      <c r="P49" s="73"/>
      <c r="Q49" s="389"/>
      <c r="R49" s="962" t="s">
        <v>256</v>
      </c>
      <c r="S49" s="676" t="s">
        <v>247</v>
      </c>
      <c r="T49" s="854"/>
      <c r="U49" s="855"/>
      <c r="V49" s="854"/>
      <c r="W49" s="959"/>
    </row>
    <row r="50" spans="2:30" s="262" customFormat="1" ht="15" customHeight="1" thickBot="1">
      <c r="B50" s="172">
        <f>Periode!B50</f>
        <v>0</v>
      </c>
      <c r="C50" s="172">
        <f>Periode!G50</f>
        <v>0</v>
      </c>
      <c r="D50" s="205"/>
      <c r="E50" s="259"/>
      <c r="F50" s="259"/>
      <c r="G50" s="259"/>
      <c r="H50" s="259"/>
      <c r="I50" s="259"/>
      <c r="J50" s="259"/>
      <c r="K50" s="106"/>
      <c r="L50" s="205"/>
      <c r="M50" s="205"/>
      <c r="N50" s="205"/>
      <c r="O50" s="42"/>
      <c r="P50" s="261"/>
      <c r="Q50" s="304"/>
      <c r="R50" s="1187">
        <f>'WK22'!R48+O48+P48</f>
        <v>370.47295192307666</v>
      </c>
      <c r="S50" s="877" t="s">
        <v>248</v>
      </c>
      <c r="T50" s="671"/>
      <c r="U50" s="672"/>
      <c r="V50" s="671"/>
      <c r="W50" s="859"/>
    </row>
    <row r="51" spans="2:30" s="91" customFormat="1" ht="15" customHeight="1">
      <c r="B51" s="5"/>
      <c r="C51" s="5"/>
      <c r="D51" s="61"/>
      <c r="E51" s="60"/>
      <c r="F51" s="60"/>
      <c r="G51" s="60"/>
      <c r="H51" s="60"/>
      <c r="I51" s="60"/>
      <c r="J51" s="60"/>
      <c r="K51" s="106"/>
      <c r="L51" s="132"/>
      <c r="M51" s="136"/>
      <c r="N51" s="136"/>
      <c r="O51" s="42"/>
      <c r="P51" s="73"/>
      <c r="Q51" s="43"/>
      <c r="R51" s="1194" t="s">
        <v>516</v>
      </c>
      <c r="S51" s="241"/>
      <c r="U51" s="343"/>
    </row>
    <row r="52" spans="2:30" s="91" customFormat="1" ht="15" customHeight="1">
      <c r="B52" s="130"/>
      <c r="C52" s="5"/>
      <c r="D52" s="61"/>
      <c r="E52" s="60"/>
      <c r="F52" s="60"/>
      <c r="G52" s="235"/>
      <c r="H52" s="235"/>
      <c r="I52" s="235"/>
      <c r="J52" s="60"/>
      <c r="K52" s="106"/>
      <c r="L52" s="136"/>
      <c r="M52" s="136"/>
      <c r="N52" s="136"/>
      <c r="O52" s="42"/>
      <c r="P52" s="42"/>
      <c r="Q52" s="43"/>
      <c r="R52" s="1178"/>
      <c r="S52" s="241"/>
      <c r="U52" s="343"/>
      <c r="AA52" s="87"/>
      <c r="AB52" s="87"/>
      <c r="AC52" s="87"/>
      <c r="AD52" s="87"/>
    </row>
    <row r="53" spans="2:30" s="91" customFormat="1" ht="15" customHeight="1">
      <c r="B53" s="5" t="str">
        <f>Periode!B53</f>
        <v>Ronald van Maanen</v>
      </c>
      <c r="C53" s="5" t="str">
        <f>Periode!G53</f>
        <v>32 (4wk)</v>
      </c>
      <c r="D53" s="61">
        <v>5</v>
      </c>
      <c r="E53" s="60">
        <v>40</v>
      </c>
      <c r="F53" s="60"/>
      <c r="G53" s="60"/>
      <c r="H53" s="60"/>
      <c r="I53" s="60"/>
      <c r="J53" s="60"/>
      <c r="K53" s="106">
        <f>(Periode!BB53*E53/40)+((F53+H53+I53)*Periode!BD53/40)+(J53*Periode!BF53/40)+(G53*Periode!BE53/40)</f>
        <v>733.25000000000011</v>
      </c>
      <c r="L53" s="132">
        <v>49</v>
      </c>
      <c r="M53" s="136"/>
      <c r="N53" s="136">
        <f>(L53*D53*2)+M53</f>
        <v>490</v>
      </c>
      <c r="O53" s="42">
        <f>((L53*2*D53)+M53)*0.28</f>
        <v>137.20000000000002</v>
      </c>
      <c r="P53" s="73"/>
      <c r="Q53" s="43">
        <f t="shared" ref="Q53" si="5">K53+O53+P53</f>
        <v>870.45000000000016</v>
      </c>
      <c r="R53" s="560"/>
      <c r="S53" s="241" t="s">
        <v>392</v>
      </c>
      <c r="U53" s="343"/>
    </row>
    <row r="54" spans="2:30" s="87" customFormat="1" ht="15" customHeight="1">
      <c r="B54" s="172">
        <f>Periode!B75</f>
        <v>0</v>
      </c>
      <c r="C54" s="172">
        <f>Periode!H75</f>
        <v>0</v>
      </c>
      <c r="D54" s="61"/>
      <c r="E54" s="60"/>
      <c r="F54" s="60"/>
      <c r="G54" s="60"/>
      <c r="H54" s="60"/>
      <c r="I54" s="60"/>
      <c r="J54" s="60"/>
      <c r="K54" s="106"/>
      <c r="L54" s="132"/>
      <c r="M54" s="61"/>
      <c r="N54" s="61"/>
      <c r="O54" s="42"/>
      <c r="P54" s="73"/>
      <c r="Q54" s="389"/>
      <c r="R54" s="814"/>
      <c r="S54" s="407"/>
      <c r="U54" s="409"/>
    </row>
    <row r="55" spans="2:30" s="87" customFormat="1" ht="15" customHeight="1">
      <c r="B55" s="172">
        <f>Periode!B76</f>
        <v>0</v>
      </c>
      <c r="C55" s="172">
        <f>Periode!H76</f>
        <v>0</v>
      </c>
      <c r="D55" s="61"/>
      <c r="E55" s="60"/>
      <c r="F55" s="60"/>
      <c r="G55" s="60"/>
      <c r="H55" s="60"/>
      <c r="I55" s="60"/>
      <c r="J55" s="60"/>
      <c r="K55" s="106"/>
      <c r="L55" s="132"/>
      <c r="M55" s="61"/>
      <c r="N55" s="61"/>
      <c r="O55" s="42"/>
      <c r="P55" s="73"/>
      <c r="Q55" s="389"/>
      <c r="R55" s="813"/>
      <c r="S55" s="407"/>
      <c r="U55" s="409"/>
    </row>
    <row r="56" spans="2:30" s="91" customFormat="1" ht="15" customHeight="1">
      <c r="B56" s="5"/>
      <c r="C56" s="5"/>
      <c r="D56" s="61"/>
      <c r="E56" s="60"/>
      <c r="F56" s="235"/>
      <c r="G56" s="235"/>
      <c r="H56" s="235"/>
      <c r="I56" s="235"/>
      <c r="J56" s="60"/>
      <c r="K56" s="106"/>
      <c r="L56" s="132"/>
      <c r="M56" s="136"/>
      <c r="N56" s="136"/>
      <c r="O56" s="42"/>
      <c r="P56" s="73"/>
      <c r="Q56" s="43"/>
      <c r="R56" s="723"/>
      <c r="S56" s="241"/>
      <c r="U56" s="343"/>
    </row>
    <row r="57" spans="2:30" s="91" customFormat="1" ht="15" customHeight="1">
      <c r="B57" s="5" t="str">
        <f>Periode!B57</f>
        <v>Erik Visser</v>
      </c>
      <c r="C57" s="5" t="str">
        <f>Periode!G57</f>
        <v>32 (4wk)</v>
      </c>
      <c r="D57" s="61">
        <v>4</v>
      </c>
      <c r="E57" s="60">
        <v>32</v>
      </c>
      <c r="F57" s="60">
        <v>8</v>
      </c>
      <c r="G57" s="60"/>
      <c r="H57" s="60"/>
      <c r="I57" s="60"/>
      <c r="J57" s="60"/>
      <c r="K57" s="106">
        <f>(Periode!BB57*E57/40)+((F57+H57+I57)*Periode!BD57/40)+(J57*Periode!BF57/40)+(G57*Periode!BE57/40)</f>
        <v>557.25992000000008</v>
      </c>
      <c r="L57" s="132">
        <v>14</v>
      </c>
      <c r="M57" s="136">
        <f>32+48</f>
        <v>80</v>
      </c>
      <c r="N57" s="136">
        <f>(L57*D57*2)+M57</f>
        <v>192</v>
      </c>
      <c r="O57" s="1190">
        <f>((L57*2*D57))*0.25+(M57*0.28)</f>
        <v>50.400000000000006</v>
      </c>
      <c r="P57" s="73"/>
      <c r="Q57" s="43">
        <f t="shared" ref="Q57" si="6">K57+O57+P57</f>
        <v>607.65992000000006</v>
      </c>
      <c r="R57" s="560" t="s">
        <v>522</v>
      </c>
      <c r="S57" s="241" t="s">
        <v>419</v>
      </c>
      <c r="U57" s="343"/>
    </row>
    <row r="58" spans="2:30">
      <c r="K58" s="106"/>
      <c r="Q58" s="1198"/>
      <c r="R58" s="1178"/>
      <c r="S58" s="407" t="s">
        <v>438</v>
      </c>
    </row>
    <row r="59" spans="2:30" s="91" customFormat="1" ht="15" customHeight="1">
      <c r="B59" s="242">
        <f>Periode!B59</f>
        <v>0</v>
      </c>
      <c r="C59" s="242">
        <f>Periode!G59</f>
        <v>0</v>
      </c>
      <c r="D59" s="243"/>
      <c r="E59" s="406"/>
      <c r="F59" s="406"/>
      <c r="G59" s="406"/>
      <c r="H59" s="406"/>
      <c r="I59" s="406"/>
      <c r="J59" s="406"/>
      <c r="K59" s="244">
        <f>(Periode!BB59*E59/40)+((F59+H59+I59)*Periode!BD59/40)+(J59*Periode!BF59/40)+(G59*Periode!BE59/40)</f>
        <v>0</v>
      </c>
      <c r="L59" s="243"/>
      <c r="M59" s="243"/>
      <c r="N59" s="243"/>
      <c r="O59" s="42"/>
      <c r="P59" s="245"/>
      <c r="Q59" s="395">
        <f>K59+O59+P59</f>
        <v>0</v>
      </c>
      <c r="R59" s="722"/>
      <c r="S59" s="241"/>
      <c r="U59" s="343"/>
    </row>
    <row r="60" spans="2:30" s="91" customFormat="1" ht="15" customHeight="1">
      <c r="B60" s="5"/>
      <c r="C60" s="5"/>
      <c r="D60" s="61"/>
      <c r="E60" s="60"/>
      <c r="F60" s="60"/>
      <c r="G60" s="60"/>
      <c r="H60" s="60"/>
      <c r="I60" s="60"/>
      <c r="J60" s="60"/>
      <c r="K60" s="106"/>
      <c r="L60" s="132"/>
      <c r="M60" s="136"/>
      <c r="N60" s="136"/>
      <c r="O60" s="42"/>
      <c r="P60" s="73"/>
      <c r="Q60" s="43"/>
      <c r="R60" s="1226" t="s">
        <v>446</v>
      </c>
      <c r="S60" s="241"/>
      <c r="U60" s="343"/>
    </row>
    <row r="61" spans="2:30" s="87" customFormat="1" ht="15" customHeight="1">
      <c r="B61" s="172">
        <f>Periode!B61</f>
        <v>0</v>
      </c>
      <c r="C61" s="172"/>
      <c r="D61" s="61"/>
      <c r="E61" s="60"/>
      <c r="F61" s="60"/>
      <c r="G61" s="60"/>
      <c r="H61" s="60"/>
      <c r="I61" s="60"/>
      <c r="J61" s="60"/>
      <c r="K61" s="106"/>
      <c r="L61" s="112"/>
      <c r="M61" s="112"/>
      <c r="N61" s="112"/>
      <c r="O61" s="42"/>
      <c r="P61" s="73"/>
      <c r="Q61" s="389"/>
      <c r="R61" s="1227">
        <f>K63</f>
        <v>463.9453125</v>
      </c>
      <c r="S61" s="407"/>
      <c r="U61" s="409"/>
    </row>
    <row r="62" spans="2:30" s="87" customFormat="1" ht="15" customHeight="1">
      <c r="B62" s="172">
        <f>Periode!B62</f>
        <v>0</v>
      </c>
      <c r="C62" s="5"/>
      <c r="D62" s="61"/>
      <c r="E62" s="60"/>
      <c r="F62" s="235"/>
      <c r="G62" s="235"/>
      <c r="H62" s="235"/>
      <c r="I62" s="235"/>
      <c r="J62" s="60"/>
      <c r="K62" s="106"/>
      <c r="L62" s="112"/>
      <c r="M62" s="112"/>
      <c r="N62" s="112"/>
      <c r="O62" s="42"/>
      <c r="P62" s="73"/>
      <c r="Q62" s="389"/>
      <c r="R62" s="1227" t="s">
        <v>453</v>
      </c>
      <c r="S62" s="407"/>
      <c r="U62" s="409"/>
    </row>
    <row r="63" spans="2:30" s="91" customFormat="1" ht="15" customHeight="1">
      <c r="B63" s="5" t="str">
        <f>Periode!B63</f>
        <v>Youri Nouwens</v>
      </c>
      <c r="C63" s="5" t="str">
        <f>Periode!G63</f>
        <v>32 (4wk)</v>
      </c>
      <c r="D63" s="61"/>
      <c r="E63" s="60">
        <v>37.5</v>
      </c>
      <c r="F63" s="60"/>
      <c r="G63" s="60"/>
      <c r="H63" s="235"/>
      <c r="I63" s="60"/>
      <c r="J63" s="60"/>
      <c r="K63" s="106">
        <f>(Periode!BB63*E63/40)+((F63+H63+I63)*Periode!BD63/40)+(J63*Periode!BF63/40)+(G63*Periode!BE63/40)</f>
        <v>463.9453125</v>
      </c>
      <c r="L63" s="132"/>
      <c r="M63" s="136"/>
      <c r="N63" s="136"/>
      <c r="O63" s="42"/>
      <c r="P63" s="1146">
        <f>(D63*Periode!AY63)</f>
        <v>0</v>
      </c>
      <c r="Q63" s="43">
        <f t="shared" ref="Q63" si="7">K63+O63+P63</f>
        <v>463.9453125</v>
      </c>
      <c r="R63" s="962">
        <f>P63</f>
        <v>0</v>
      </c>
      <c r="S63" s="241" t="s">
        <v>158</v>
      </c>
      <c r="U63" s="343"/>
    </row>
    <row r="64" spans="2:30" s="87" customFormat="1" ht="15" customHeight="1">
      <c r="B64" s="172">
        <f>Periode!B64</f>
        <v>0</v>
      </c>
      <c r="C64" s="172"/>
      <c r="D64" s="61"/>
      <c r="E64" s="60"/>
      <c r="F64" s="60"/>
      <c r="G64" s="60"/>
      <c r="H64" s="60"/>
      <c r="I64" s="60"/>
      <c r="J64" s="60"/>
      <c r="K64" s="106"/>
      <c r="L64" s="132"/>
      <c r="M64" s="61"/>
      <c r="N64" s="61"/>
      <c r="O64" s="42"/>
      <c r="P64" s="73"/>
      <c r="Q64" s="389"/>
      <c r="R64" s="1232" t="s">
        <v>495</v>
      </c>
      <c r="S64" s="676" t="s">
        <v>159</v>
      </c>
      <c r="T64" s="91"/>
      <c r="U64" s="91"/>
      <c r="V64" s="91"/>
      <c r="W64" s="91"/>
      <c r="X64" s="91"/>
      <c r="Y64" s="91"/>
    </row>
    <row r="65" spans="2:25" s="91" customFormat="1" ht="15" customHeight="1">
      <c r="B65" s="5"/>
      <c r="C65" s="5"/>
      <c r="D65" s="61"/>
      <c r="E65" s="60"/>
      <c r="F65" s="235"/>
      <c r="G65" s="235"/>
      <c r="H65" s="235"/>
      <c r="I65" s="235"/>
      <c r="J65" s="469"/>
      <c r="K65" s="106"/>
      <c r="L65" s="132"/>
      <c r="M65" s="136"/>
      <c r="N65" s="136"/>
      <c r="O65" s="42"/>
      <c r="P65" s="42"/>
      <c r="Q65" s="43"/>
      <c r="R65" s="722"/>
      <c r="S65" s="676" t="s">
        <v>160</v>
      </c>
      <c r="T65" s="87"/>
      <c r="U65" s="87"/>
      <c r="V65" s="87"/>
      <c r="W65" s="87"/>
      <c r="X65" s="87"/>
      <c r="Y65" s="87"/>
    </row>
    <row r="66" spans="2:25" s="91" customFormat="1" ht="15" customHeight="1">
      <c r="B66" s="5"/>
      <c r="C66" s="5"/>
      <c r="D66" s="61"/>
      <c r="E66" s="60"/>
      <c r="F66" s="60"/>
      <c r="G66" s="60"/>
      <c r="H66" s="235"/>
      <c r="I66" s="235"/>
      <c r="J66" s="60"/>
      <c r="K66" s="106"/>
      <c r="L66" s="132"/>
      <c r="M66" s="136"/>
      <c r="N66" s="136"/>
      <c r="O66" s="42"/>
      <c r="P66" s="73"/>
      <c r="Q66" s="43"/>
      <c r="R66" s="722"/>
      <c r="S66" s="241"/>
      <c r="U66" s="343"/>
    </row>
    <row r="67" spans="2:25" s="91" customFormat="1" ht="15" customHeight="1">
      <c r="B67" s="5"/>
      <c r="C67" s="5"/>
      <c r="D67" s="61"/>
      <c r="E67" s="60"/>
      <c r="F67" s="60"/>
      <c r="G67" s="235"/>
      <c r="H67" s="235"/>
      <c r="I67" s="235"/>
      <c r="J67" s="235"/>
      <c r="K67" s="106"/>
      <c r="L67" s="136"/>
      <c r="M67" s="136"/>
      <c r="N67" s="136"/>
      <c r="O67" s="42"/>
      <c r="P67" s="73"/>
      <c r="Q67" s="43"/>
      <c r="R67" s="722"/>
      <c r="S67" s="241"/>
      <c r="U67" s="343"/>
    </row>
    <row r="68" spans="2:25" s="262" customFormat="1" ht="15" customHeight="1">
      <c r="B68" s="172">
        <f>Periode!B68</f>
        <v>0</v>
      </c>
      <c r="C68" s="172"/>
      <c r="D68" s="205"/>
      <c r="E68" s="259"/>
      <c r="F68" s="259"/>
      <c r="G68" s="259"/>
      <c r="H68" s="259"/>
      <c r="I68" s="259"/>
      <c r="J68" s="259"/>
      <c r="K68" s="106"/>
      <c r="L68" s="205">
        <v>52</v>
      </c>
      <c r="M68" s="205"/>
      <c r="N68" s="205">
        <f>(L68*D68*2)+M68</f>
        <v>0</v>
      </c>
      <c r="O68" s="42"/>
      <c r="P68" s="261"/>
      <c r="Q68" s="304">
        <f>K68+O68+P68</f>
        <v>0</v>
      </c>
      <c r="R68" s="722"/>
      <c r="S68" s="397" t="s">
        <v>127</v>
      </c>
      <c r="U68" s="414"/>
    </row>
    <row r="69" spans="2:25" s="87" customFormat="1" ht="15" customHeight="1">
      <c r="B69" s="172">
        <f>Periode!B69</f>
        <v>0</v>
      </c>
      <c r="C69" s="172"/>
      <c r="D69" s="61"/>
      <c r="E69" s="60"/>
      <c r="F69" s="60"/>
      <c r="G69" s="60"/>
      <c r="H69" s="60"/>
      <c r="I69" s="60"/>
      <c r="J69" s="60"/>
      <c r="K69" s="106"/>
      <c r="L69" s="132"/>
      <c r="M69" s="61"/>
      <c r="N69" s="61"/>
      <c r="O69" s="42"/>
      <c r="P69" s="73"/>
      <c r="Q69" s="389"/>
      <c r="R69" s="1209"/>
      <c r="S69" s="407"/>
      <c r="U69" s="409"/>
    </row>
    <row r="70" spans="2:25" s="91" customFormat="1" ht="15" customHeight="1">
      <c r="B70" s="5" t="str">
        <f>Periode!B70</f>
        <v>Marco Booij</v>
      </c>
      <c r="C70" s="5" t="str">
        <f>Periode!G70</f>
        <v>32 (4wk)</v>
      </c>
      <c r="D70" s="61"/>
      <c r="E70" s="60"/>
      <c r="F70" s="60"/>
      <c r="G70" s="235"/>
      <c r="H70" s="235"/>
      <c r="I70" s="235"/>
      <c r="J70" s="60"/>
      <c r="K70" s="106">
        <f>(Periode!BB70*E70/40)+((F70+H70+I70)*Periode!BD70/40)+(J70*Periode!BF70/40)+(G70*Periode!BE70/40)</f>
        <v>0</v>
      </c>
      <c r="L70" s="132"/>
      <c r="M70" s="136"/>
      <c r="N70" s="136"/>
      <c r="O70" s="42"/>
      <c r="P70" s="73">
        <v>171.65</v>
      </c>
      <c r="Q70" s="43">
        <f>K70+O70+P70</f>
        <v>171.65</v>
      </c>
      <c r="R70" s="722" t="s">
        <v>405</v>
      </c>
      <c r="S70" s="241" t="s">
        <v>136</v>
      </c>
      <c r="U70" s="343"/>
    </row>
    <row r="71" spans="2:25" s="91" customFormat="1" ht="15" customHeight="1">
      <c r="B71" s="5"/>
      <c r="C71" s="5"/>
      <c r="D71" s="61"/>
      <c r="E71" s="60"/>
      <c r="F71" s="235"/>
      <c r="G71" s="235"/>
      <c r="H71" s="235"/>
      <c r="I71" s="235"/>
      <c r="J71" s="469"/>
      <c r="K71" s="106"/>
      <c r="L71" s="132"/>
      <c r="M71" s="132"/>
      <c r="N71" s="136"/>
      <c r="O71" s="42"/>
      <c r="P71" s="42"/>
      <c r="Q71" s="43"/>
      <c r="R71" s="1177"/>
      <c r="S71" s="241"/>
      <c r="U71" s="343"/>
    </row>
    <row r="72" spans="2:25" s="262" customFormat="1" ht="15" customHeight="1">
      <c r="B72" s="172"/>
      <c r="C72" s="172"/>
      <c r="D72" s="205"/>
      <c r="E72" s="259"/>
      <c r="F72" s="259"/>
      <c r="G72" s="259"/>
      <c r="H72" s="259"/>
      <c r="I72" s="259"/>
      <c r="J72" s="259"/>
      <c r="K72" s="106"/>
      <c r="L72" s="205">
        <v>50</v>
      </c>
      <c r="M72" s="205"/>
      <c r="N72" s="205">
        <f>(L72*D72*2)+M72</f>
        <v>0</v>
      </c>
      <c r="O72" s="42"/>
      <c r="P72" s="261"/>
      <c r="Q72" s="304">
        <f>K72+O72+P72</f>
        <v>0</v>
      </c>
      <c r="R72" s="563"/>
      <c r="S72" s="397" t="s">
        <v>129</v>
      </c>
      <c r="U72" s="414"/>
    </row>
    <row r="73" spans="2:25" s="87" customFormat="1" ht="15" customHeight="1">
      <c r="B73" s="172">
        <v>0</v>
      </c>
      <c r="C73" s="172"/>
      <c r="D73" s="61"/>
      <c r="E73" s="60"/>
      <c r="F73" s="60"/>
      <c r="G73" s="60"/>
      <c r="H73" s="60"/>
      <c r="I73" s="60"/>
      <c r="J73" s="60"/>
      <c r="K73" s="106"/>
      <c r="L73" s="132"/>
      <c r="M73" s="61"/>
      <c r="N73" s="61"/>
      <c r="O73" s="42"/>
      <c r="P73" s="73"/>
      <c r="Q73" s="389"/>
      <c r="R73" s="1143"/>
      <c r="S73" s="407"/>
      <c r="U73" s="409"/>
    </row>
    <row r="74" spans="2:25" s="91" customFormat="1" ht="15" customHeight="1">
      <c r="B74" s="5" t="str">
        <f>Periode!B74</f>
        <v>Kevin Schuiling</v>
      </c>
      <c r="C74" s="5" t="str">
        <f>Periode!G74</f>
        <v>32 (4wk)</v>
      </c>
      <c r="D74" s="61">
        <v>5</v>
      </c>
      <c r="E74" s="60">
        <v>35.5</v>
      </c>
      <c r="F74" s="60"/>
      <c r="G74" s="235"/>
      <c r="H74" s="235"/>
      <c r="I74" s="235"/>
      <c r="J74" s="60"/>
      <c r="K74" s="106">
        <f>(Periode!BB74*E74/40)+((F74+H74+I74)*Periode!BD74/40)+(J74*Periode!BF74/40)+(G74*Periode!BE74/40)</f>
        <v>532.5</v>
      </c>
      <c r="L74" s="132">
        <v>58</v>
      </c>
      <c r="M74" s="136"/>
      <c r="N74" s="136">
        <f>(L74*D74*2)+M74</f>
        <v>580</v>
      </c>
      <c r="O74" s="42">
        <f>((L74*2*D74)+M74)*0.28</f>
        <v>162.4</v>
      </c>
      <c r="P74" s="73"/>
      <c r="Q74" s="43">
        <f>K74+O74+P74</f>
        <v>694.9</v>
      </c>
      <c r="R74" s="722" t="s">
        <v>517</v>
      </c>
      <c r="S74" s="241" t="s">
        <v>529</v>
      </c>
      <c r="U74" s="343"/>
    </row>
    <row r="75" spans="2:25" s="87" customFormat="1" ht="15" customHeight="1">
      <c r="B75" s="172">
        <f>Periode!B75</f>
        <v>0</v>
      </c>
      <c r="C75" s="172"/>
      <c r="D75" s="61"/>
      <c r="E75" s="60"/>
      <c r="F75" s="60"/>
      <c r="G75" s="60"/>
      <c r="H75" s="60"/>
      <c r="I75" s="60"/>
      <c r="J75" s="60"/>
      <c r="K75" s="106"/>
      <c r="L75" s="132"/>
      <c r="M75" s="61"/>
      <c r="N75" s="61"/>
      <c r="O75" s="42"/>
      <c r="P75" s="73"/>
      <c r="Q75" s="389"/>
      <c r="R75" s="1210"/>
      <c r="S75" s="407"/>
      <c r="U75" s="409"/>
    </row>
    <row r="76" spans="2:25" s="87" customFormat="1" ht="15" customHeight="1">
      <c r="B76" s="172">
        <f>Periode!B76</f>
        <v>0</v>
      </c>
      <c r="C76" s="172"/>
      <c r="D76" s="61"/>
      <c r="E76" s="60"/>
      <c r="F76" s="60"/>
      <c r="G76" s="60"/>
      <c r="H76" s="60"/>
      <c r="I76" s="60"/>
      <c r="J76" s="60"/>
      <c r="K76" s="106"/>
      <c r="L76" s="132"/>
      <c r="M76" s="61"/>
      <c r="N76" s="61"/>
      <c r="O76" s="42"/>
      <c r="P76" s="73"/>
      <c r="Q76" s="389"/>
      <c r="R76" s="1177"/>
      <c r="S76" s="407"/>
      <c r="U76" s="409"/>
    </row>
    <row r="77" spans="2:25" s="91" customFormat="1" ht="15" customHeight="1">
      <c r="B77" s="5" t="str">
        <f>Periode!B77</f>
        <v>Steven Lamers</v>
      </c>
      <c r="C77" s="5" t="str">
        <f>Periode!G77</f>
        <v>32 (4wk)</v>
      </c>
      <c r="D77" s="61">
        <v>5</v>
      </c>
      <c r="E77" s="60">
        <v>35.5</v>
      </c>
      <c r="F77" s="60"/>
      <c r="G77" s="235"/>
      <c r="H77" s="235"/>
      <c r="I77" s="235"/>
      <c r="J77" s="60"/>
      <c r="K77" s="106">
        <f>(Periode!BB77*E77/40)+((F77+H77+I77)*Periode!BD77/40)+(J77*Periode!BF77/40)+(G77*Periode!BE77/40)</f>
        <v>588.69650000000001</v>
      </c>
      <c r="L77" s="132"/>
      <c r="M77" s="136"/>
      <c r="N77" s="136"/>
      <c r="O77" s="42"/>
      <c r="P77" s="73">
        <v>-139</v>
      </c>
      <c r="Q77" s="43">
        <f>K77+O77+P77</f>
        <v>449.69650000000001</v>
      </c>
      <c r="R77" s="722" t="s">
        <v>512</v>
      </c>
      <c r="S77" s="241" t="s">
        <v>222</v>
      </c>
      <c r="U77" s="343"/>
    </row>
    <row r="78" spans="2:25" s="87" customFormat="1" ht="15" customHeight="1">
      <c r="B78" s="172">
        <f>Periode!B78</f>
        <v>0</v>
      </c>
      <c r="C78" s="172">
        <f>Periode!H78</f>
        <v>0</v>
      </c>
      <c r="D78" s="61"/>
      <c r="E78" s="60"/>
      <c r="F78" s="60"/>
      <c r="G78" s="60"/>
      <c r="H78" s="60"/>
      <c r="I78" s="60"/>
      <c r="J78" s="60"/>
      <c r="K78" s="106"/>
      <c r="L78" s="132"/>
      <c r="M78" s="61"/>
      <c r="N78" s="61"/>
      <c r="O78" s="42"/>
      <c r="P78" s="73"/>
      <c r="Q78" s="389"/>
      <c r="R78" s="722" t="s">
        <v>517</v>
      </c>
      <c r="S78" s="676" t="s">
        <v>228</v>
      </c>
      <c r="U78" s="409"/>
    </row>
    <row r="79" spans="2:25" s="87" customFormat="1" ht="15" customHeight="1">
      <c r="B79" s="172">
        <f>Periode!B79</f>
        <v>0</v>
      </c>
      <c r="C79" s="172">
        <f>Periode!H79</f>
        <v>0</v>
      </c>
      <c r="D79" s="61"/>
      <c r="E79" s="60"/>
      <c r="F79" s="60"/>
      <c r="G79" s="60"/>
      <c r="H79" s="60"/>
      <c r="I79" s="60"/>
      <c r="J79" s="60"/>
      <c r="K79" s="106"/>
      <c r="L79" s="132"/>
      <c r="M79" s="61"/>
      <c r="N79" s="61"/>
      <c r="O79" s="42"/>
      <c r="P79" s="73"/>
      <c r="Q79" s="389"/>
      <c r="R79" s="722"/>
      <c r="S79" s="1216"/>
      <c r="U79" s="409"/>
    </row>
    <row r="80" spans="2:25" s="91" customFormat="1" ht="15" customHeight="1">
      <c r="B80" s="5" t="str">
        <f>Periode!B80</f>
        <v>Leo van Doorn</v>
      </c>
      <c r="C80" s="5" t="str">
        <f>Periode!G80</f>
        <v>0</v>
      </c>
      <c r="D80" s="61">
        <v>5</v>
      </c>
      <c r="E80" s="60">
        <v>40</v>
      </c>
      <c r="F80" s="60"/>
      <c r="G80" s="60"/>
      <c r="H80" s="60"/>
      <c r="I80" s="60"/>
      <c r="J80" s="60"/>
      <c r="K80" s="106">
        <f>(Periode!BB80*E80/40)+((F80+H80+I80)*Periode!BD80/40)+(J80*Periode!BF80/40)+(G80*Periode!BE80/40)</f>
        <v>711.76</v>
      </c>
      <c r="L80" s="132">
        <v>21</v>
      </c>
      <c r="M80" s="136"/>
      <c r="N80" s="136">
        <f>(L80*D80*2)+M80</f>
        <v>210</v>
      </c>
      <c r="O80" s="42">
        <f>((L80*2*D80)+M80)*0.28</f>
        <v>58.800000000000004</v>
      </c>
      <c r="P80" s="73"/>
      <c r="Q80" s="43">
        <f>K80+O80+P80</f>
        <v>770.56</v>
      </c>
      <c r="R80" s="722"/>
      <c r="S80" s="241" t="s">
        <v>238</v>
      </c>
      <c r="U80" s="343"/>
    </row>
    <row r="81" spans="2:21" s="87" customFormat="1" ht="15" customHeight="1">
      <c r="B81" s="172">
        <f>Periode!B81</f>
        <v>0</v>
      </c>
      <c r="C81" s="172">
        <f>Periode!H81</f>
        <v>0</v>
      </c>
      <c r="D81" s="61"/>
      <c r="E81" s="60"/>
      <c r="F81" s="60"/>
      <c r="G81" s="60"/>
      <c r="H81" s="60"/>
      <c r="I81" s="60"/>
      <c r="J81" s="60"/>
      <c r="K81" s="106"/>
      <c r="L81" s="132"/>
      <c r="M81" s="61"/>
      <c r="N81" s="61"/>
      <c r="O81" s="42"/>
      <c r="P81" s="73"/>
      <c r="Q81" s="389"/>
      <c r="R81" s="722"/>
      <c r="S81" s="407"/>
      <c r="U81" s="409"/>
    </row>
    <row r="82" spans="2:21" s="87" customFormat="1" ht="15" customHeight="1">
      <c r="B82" s="172">
        <f>Periode!B82</f>
        <v>0</v>
      </c>
      <c r="C82" s="172">
        <f>Periode!H82</f>
        <v>0</v>
      </c>
      <c r="D82" s="61"/>
      <c r="E82" s="60"/>
      <c r="F82" s="60"/>
      <c r="G82" s="60"/>
      <c r="H82" s="60"/>
      <c r="I82" s="60"/>
      <c r="J82" s="60"/>
      <c r="K82" s="106"/>
      <c r="L82" s="132"/>
      <c r="M82" s="61"/>
      <c r="N82" s="61"/>
      <c r="O82" s="42"/>
      <c r="P82" s="73"/>
      <c r="Q82" s="389"/>
      <c r="R82" s="722"/>
      <c r="S82" s="407"/>
      <c r="U82" s="409"/>
    </row>
    <row r="83" spans="2:21" s="91" customFormat="1" ht="15" customHeight="1">
      <c r="B83" s="1149" t="str">
        <f>Periode!B83</f>
        <v>Tobin van de Kuil</v>
      </c>
      <c r="C83" s="5" t="str">
        <f>Periode!G83</f>
        <v>0</v>
      </c>
      <c r="D83" s="61"/>
      <c r="E83" s="60"/>
      <c r="F83" s="60"/>
      <c r="G83" s="60"/>
      <c r="H83" s="60"/>
      <c r="I83" s="60"/>
      <c r="J83" s="60"/>
      <c r="K83" s="106">
        <f>(Periode!BB83*E83/40)+((F83+H83+I83)*Periode!BD83/40)+(J83*Periode!BF83/40)+(G83*Periode!BE83/40)</f>
        <v>0</v>
      </c>
      <c r="L83" s="132">
        <v>0</v>
      </c>
      <c r="M83" s="136"/>
      <c r="N83" s="136">
        <f>(L83*D83*2)+M83</f>
        <v>0</v>
      </c>
      <c r="O83" s="42">
        <f>((L83*2*D83)+M83)*0.28</f>
        <v>0</v>
      </c>
      <c r="P83" s="73"/>
      <c r="Q83" s="43">
        <f>K83+O83+P83</f>
        <v>0</v>
      </c>
      <c r="R83" s="722" t="s">
        <v>482</v>
      </c>
      <c r="S83" s="241" t="s">
        <v>420</v>
      </c>
      <c r="U83" s="343"/>
    </row>
    <row r="84" spans="2:21" s="87" customFormat="1" ht="15" customHeight="1">
      <c r="B84" s="172"/>
      <c r="C84" s="172">
        <f>Periode!H84</f>
        <v>0</v>
      </c>
      <c r="D84" s="61"/>
      <c r="E84" s="60"/>
      <c r="F84" s="60"/>
      <c r="G84" s="60"/>
      <c r="H84" s="60"/>
      <c r="I84" s="60"/>
      <c r="J84" s="60"/>
      <c r="K84" s="106"/>
      <c r="L84" s="132"/>
      <c r="M84" s="61"/>
      <c r="N84" s="61"/>
      <c r="O84" s="42"/>
      <c r="P84" s="73"/>
      <c r="Q84" s="389"/>
      <c r="R84" s="722"/>
      <c r="S84" s="407"/>
      <c r="U84" s="409"/>
    </row>
    <row r="85" spans="2:21" s="87" customFormat="1" ht="15" customHeight="1">
      <c r="B85" s="172">
        <f>Periode!B85</f>
        <v>0</v>
      </c>
      <c r="C85" s="172">
        <f>Periode!H85</f>
        <v>0</v>
      </c>
      <c r="D85" s="61"/>
      <c r="E85" s="60"/>
      <c r="F85" s="60"/>
      <c r="G85" s="60"/>
      <c r="H85" s="60"/>
      <c r="I85" s="60"/>
      <c r="J85" s="60"/>
      <c r="K85" s="106"/>
      <c r="L85" s="132"/>
      <c r="M85" s="61"/>
      <c r="N85" s="61"/>
      <c r="O85" s="42"/>
      <c r="P85" s="73"/>
      <c r="Q85" s="389"/>
      <c r="R85" s="722"/>
      <c r="S85" s="407"/>
      <c r="U85" s="409"/>
    </row>
    <row r="86" spans="2:21" s="87" customFormat="1" ht="15" customHeight="1">
      <c r="B86" s="172">
        <f>Periode!B86</f>
        <v>0</v>
      </c>
      <c r="C86" s="172">
        <f>Periode!H86</f>
        <v>0</v>
      </c>
      <c r="D86" s="61"/>
      <c r="E86" s="60"/>
      <c r="F86" s="60"/>
      <c r="G86" s="60"/>
      <c r="H86" s="60"/>
      <c r="I86" s="60"/>
      <c r="J86" s="60"/>
      <c r="K86" s="106"/>
      <c r="L86" s="132"/>
      <c r="M86" s="61"/>
      <c r="N86" s="61"/>
      <c r="O86" s="42"/>
      <c r="P86" s="73"/>
      <c r="Q86" s="389"/>
      <c r="R86" s="722"/>
      <c r="S86" s="407"/>
      <c r="U86" s="409"/>
    </row>
    <row r="87" spans="2:21" s="91" customFormat="1" ht="15" customHeight="1">
      <c r="B87" s="5" t="str">
        <f>Periode!B87</f>
        <v>Carlo Peetoom</v>
      </c>
      <c r="C87" s="5" t="str">
        <f>Periode!G87</f>
        <v>32 (4wk)</v>
      </c>
      <c r="D87" s="61">
        <v>4</v>
      </c>
      <c r="E87" s="60">
        <v>32</v>
      </c>
      <c r="F87" s="60"/>
      <c r="G87" s="235"/>
      <c r="H87" s="60"/>
      <c r="I87" s="60"/>
      <c r="J87" s="60"/>
      <c r="K87" s="106">
        <f>(Periode!BB87*E87/40)+((F87+H87+I87)*Periode!BD87/40)+(J87*Periode!BF87/40)+(G87*Periode!BE87/40)</f>
        <v>672.54</v>
      </c>
      <c r="L87" s="132">
        <v>40</v>
      </c>
      <c r="M87" s="136"/>
      <c r="N87" s="136">
        <f>(L87*D87*2)+M87</f>
        <v>320</v>
      </c>
      <c r="O87" s="561">
        <f>((L87*2*D87)+M87)*0.25</f>
        <v>80</v>
      </c>
      <c r="P87" s="73">
        <v>106.55</v>
      </c>
      <c r="Q87" s="42">
        <f>K87+O87+P87</f>
        <v>859.08999999999992</v>
      </c>
      <c r="R87" s="271" t="s">
        <v>461</v>
      </c>
      <c r="S87" s="241" t="s">
        <v>442</v>
      </c>
      <c r="U87" s="343"/>
    </row>
    <row r="88" spans="2:21" s="87" customFormat="1" ht="15" customHeight="1">
      <c r="B88" s="172">
        <f>Periode!B88</f>
        <v>0</v>
      </c>
      <c r="C88" s="172">
        <f>Periode!H88</f>
        <v>0</v>
      </c>
      <c r="D88" s="61"/>
      <c r="E88" s="60"/>
      <c r="F88" s="60"/>
      <c r="G88" s="60"/>
      <c r="H88" s="60"/>
      <c r="I88" s="60"/>
      <c r="J88" s="60"/>
      <c r="K88" s="106"/>
      <c r="L88" s="132"/>
      <c r="M88" s="61"/>
      <c r="N88" s="61"/>
      <c r="O88" s="42"/>
      <c r="P88" s="73"/>
      <c r="Q88" s="389"/>
      <c r="R88" s="722" t="s">
        <v>520</v>
      </c>
      <c r="S88" s="407"/>
      <c r="U88" s="409"/>
    </row>
    <row r="89" spans="2:21" s="87" customFormat="1" ht="15" customHeight="1">
      <c r="B89" s="172">
        <f>Periode!B89</f>
        <v>0</v>
      </c>
      <c r="C89" s="172">
        <f>Periode!H89</f>
        <v>0</v>
      </c>
      <c r="D89" s="61"/>
      <c r="E89" s="60"/>
      <c r="F89" s="60"/>
      <c r="G89" s="60"/>
      <c r="H89" s="60"/>
      <c r="I89" s="60"/>
      <c r="J89" s="60"/>
      <c r="K89" s="106"/>
      <c r="L89" s="132"/>
      <c r="M89" s="61"/>
      <c r="N89" s="61"/>
      <c r="O89" s="42"/>
      <c r="P89" s="73"/>
      <c r="Q89" s="389"/>
      <c r="R89" s="1210"/>
      <c r="S89" s="407"/>
      <c r="U89" s="409"/>
    </row>
    <row r="90" spans="2:21" s="91" customFormat="1" ht="15" customHeight="1">
      <c r="B90" s="1149" t="str">
        <f>Periode!B90</f>
        <v>Aries Provence</v>
      </c>
      <c r="C90" s="5" t="str">
        <f>Periode!G90</f>
        <v>0</v>
      </c>
      <c r="D90" s="61">
        <v>5</v>
      </c>
      <c r="E90" s="60">
        <v>40</v>
      </c>
      <c r="F90" s="60"/>
      <c r="G90" s="60"/>
      <c r="H90" s="60"/>
      <c r="I90" s="60"/>
      <c r="J90" s="60"/>
      <c r="K90" s="106">
        <f>(Periode!BB90*E90/40)+((F90+H90+I90)*Periode!BD90/40)+(J90*Periode!BF90/40)+(G90*Periode!BE90/40)</f>
        <v>600.34500000000003</v>
      </c>
      <c r="L90" s="132">
        <v>85</v>
      </c>
      <c r="M90" s="136"/>
      <c r="N90" s="136">
        <f>(L90*D90*2)+M90</f>
        <v>850</v>
      </c>
      <c r="O90" s="561">
        <f>((L90*2*D90)+M90)*0.25</f>
        <v>212.5</v>
      </c>
      <c r="P90" s="73"/>
      <c r="Q90" s="43">
        <f>K90+O90+P90</f>
        <v>812.84500000000003</v>
      </c>
      <c r="R90" s="1218"/>
      <c r="S90" s="241" t="s">
        <v>422</v>
      </c>
      <c r="U90" s="343"/>
    </row>
    <row r="91" spans="2:21" s="87" customFormat="1" ht="15" customHeight="1">
      <c r="B91" s="172">
        <f>Periode!B91</f>
        <v>0</v>
      </c>
      <c r="C91" s="172">
        <f>Periode!H91</f>
        <v>0</v>
      </c>
      <c r="D91" s="61"/>
      <c r="E91" s="60"/>
      <c r="F91" s="60"/>
      <c r="G91" s="60"/>
      <c r="H91" s="60"/>
      <c r="I91" s="60"/>
      <c r="J91" s="60"/>
      <c r="K91" s="106"/>
      <c r="L91" s="132"/>
      <c r="M91" s="61"/>
      <c r="N91" s="61"/>
      <c r="O91" s="42"/>
      <c r="P91" s="73"/>
      <c r="Q91" s="389"/>
      <c r="R91" s="722"/>
      <c r="S91" s="407"/>
      <c r="U91" s="409"/>
    </row>
    <row r="92" spans="2:21" s="91" customFormat="1" ht="15" customHeight="1">
      <c r="B92" s="1149" t="str">
        <f>Periode!B92</f>
        <v>Gregory de Graaf</v>
      </c>
      <c r="C92" s="5" t="str">
        <f>Periode!G92</f>
        <v>0</v>
      </c>
      <c r="D92" s="61">
        <v>5</v>
      </c>
      <c r="E92" s="60">
        <v>37</v>
      </c>
      <c r="F92" s="60"/>
      <c r="G92" s="60"/>
      <c r="H92" s="60"/>
      <c r="I92" s="60"/>
      <c r="J92" s="235"/>
      <c r="K92" s="106">
        <f>(Periode!BB92*E92/40)+((F92+H92+I92)*Periode!BD92/40)+(J92*Periode!BF92/40)+(G92*Periode!BE92/40)</f>
        <v>682.65</v>
      </c>
      <c r="L92" s="132"/>
      <c r="M92" s="136"/>
      <c r="N92" s="136"/>
      <c r="O92" s="42"/>
      <c r="P92" s="73"/>
      <c r="Q92" s="949">
        <f>K92+O92+P92</f>
        <v>682.65</v>
      </c>
      <c r="R92" s="722" t="s">
        <v>254</v>
      </c>
      <c r="S92" s="241" t="s">
        <v>431</v>
      </c>
      <c r="U92" s="343"/>
    </row>
    <row r="93" spans="2:21" s="87" customFormat="1" ht="15" customHeight="1">
      <c r="B93" s="172">
        <f>Periode!B93</f>
        <v>0</v>
      </c>
      <c r="C93" s="172">
        <f>Periode!H93</f>
        <v>0</v>
      </c>
      <c r="D93" s="61"/>
      <c r="E93" s="60"/>
      <c r="F93" s="60"/>
      <c r="G93" s="60"/>
      <c r="H93" s="60"/>
      <c r="I93" s="60"/>
      <c r="J93" s="60"/>
      <c r="K93" s="106"/>
      <c r="L93" s="132"/>
      <c r="M93" s="61"/>
      <c r="N93" s="61"/>
      <c r="O93" s="42"/>
      <c r="P93" s="73"/>
      <c r="Q93" s="389"/>
      <c r="R93" s="1218" t="s">
        <v>518</v>
      </c>
      <c r="S93" s="407"/>
      <c r="U93" s="409"/>
    </row>
    <row r="94" spans="2:21" s="87" customFormat="1" ht="15" customHeight="1">
      <c r="B94" s="172">
        <f>Periode!B94</f>
        <v>0</v>
      </c>
      <c r="C94" s="172">
        <f>Periode!H94</f>
        <v>0</v>
      </c>
      <c r="D94" s="61"/>
      <c r="E94" s="60"/>
      <c r="F94" s="60"/>
      <c r="G94" s="60"/>
      <c r="H94" s="60"/>
      <c r="I94" s="60"/>
      <c r="J94" s="60"/>
      <c r="K94" s="106"/>
      <c r="L94" s="132"/>
      <c r="M94" s="61"/>
      <c r="N94" s="61"/>
      <c r="O94" s="42"/>
      <c r="P94" s="73"/>
      <c r="Q94" s="389"/>
      <c r="R94" s="722"/>
      <c r="S94" s="407"/>
      <c r="U94" s="409"/>
    </row>
    <row r="95" spans="2:21" s="91" customFormat="1" ht="15" customHeight="1">
      <c r="B95" s="5"/>
      <c r="C95" s="5"/>
      <c r="D95" s="61"/>
      <c r="E95" s="60"/>
      <c r="F95" s="60"/>
      <c r="G95" s="235"/>
      <c r="H95" s="235"/>
      <c r="I95" s="235"/>
      <c r="J95" s="60"/>
      <c r="K95" s="106"/>
      <c r="L95" s="132"/>
      <c r="M95" s="136"/>
      <c r="N95" s="136"/>
      <c r="O95" s="42"/>
      <c r="P95" s="73"/>
      <c r="Q95" s="43"/>
      <c r="R95" s="1177"/>
      <c r="S95" s="241"/>
      <c r="U95" s="343"/>
    </row>
    <row r="96" spans="2:21" s="87" customFormat="1" ht="15" customHeight="1">
      <c r="B96" s="172">
        <f>Periode!B96</f>
        <v>0</v>
      </c>
      <c r="C96" s="172">
        <f>Periode!H96</f>
        <v>0</v>
      </c>
      <c r="D96" s="61"/>
      <c r="E96" s="60"/>
      <c r="F96" s="60"/>
      <c r="G96" s="60"/>
      <c r="H96" s="60"/>
      <c r="I96" s="60"/>
      <c r="J96" s="60"/>
      <c r="K96" s="106"/>
      <c r="L96" s="132"/>
      <c r="M96" s="61"/>
      <c r="N96" s="61"/>
      <c r="O96" s="42"/>
      <c r="P96" s="73"/>
      <c r="Q96" s="1199"/>
      <c r="R96" s="722"/>
      <c r="S96" s="407"/>
      <c r="U96" s="409"/>
    </row>
    <row r="97" spans="2:21" s="87" customFormat="1" ht="15" customHeight="1">
      <c r="B97" s="172">
        <f>Periode!B97</f>
        <v>0</v>
      </c>
      <c r="C97" s="172">
        <f>Periode!H97</f>
        <v>0</v>
      </c>
      <c r="D97" s="61"/>
      <c r="E97" s="60"/>
      <c r="F97" s="60"/>
      <c r="G97" s="60"/>
      <c r="H97" s="60"/>
      <c r="I97" s="60"/>
      <c r="J97" s="60"/>
      <c r="K97" s="106"/>
      <c r="L97" s="132"/>
      <c r="M97" s="61"/>
      <c r="N97" s="61"/>
      <c r="O97" s="42"/>
      <c r="P97" s="73"/>
      <c r="Q97" s="1200"/>
      <c r="R97" s="722"/>
      <c r="S97" s="407"/>
      <c r="U97" s="409"/>
    </row>
    <row r="98" spans="2:21" s="91" customFormat="1" ht="15" customHeight="1">
      <c r="B98" s="242"/>
      <c r="C98" s="5"/>
      <c r="D98" s="136"/>
      <c r="E98" s="235"/>
      <c r="F98" s="235"/>
      <c r="G98" s="235"/>
      <c r="H98" s="235"/>
      <c r="I98" s="235"/>
      <c r="J98" s="235"/>
      <c r="K98" s="106"/>
      <c r="L98" s="136"/>
      <c r="M98" s="136"/>
      <c r="N98" s="136"/>
      <c r="O98" s="245"/>
      <c r="P98" s="42"/>
      <c r="Q98" s="43"/>
      <c r="R98" s="1211"/>
      <c r="S98" s="241"/>
      <c r="U98" s="343"/>
    </row>
    <row r="99" spans="2:21" s="91" customFormat="1" ht="15" customHeight="1">
      <c r="B99" s="5" t="str">
        <f>Periode!B99</f>
        <v>Eric de Jong</v>
      </c>
      <c r="C99" s="5" t="str">
        <f>Periode!G99</f>
        <v>0</v>
      </c>
      <c r="D99" s="61">
        <v>5</v>
      </c>
      <c r="E99" s="60">
        <v>40</v>
      </c>
      <c r="F99" s="60"/>
      <c r="G99" s="60"/>
      <c r="H99" s="60"/>
      <c r="I99" s="235"/>
      <c r="J99" s="60"/>
      <c r="K99" s="106">
        <f>(Periode!BB99*E99/40)+((F99+H99+I99)*Periode!BD99/40)+(J99*Periode!BF99/40)+(G99*Periode!BE99/40)</f>
        <v>928.00999999999988</v>
      </c>
      <c r="L99" s="132">
        <v>47</v>
      </c>
      <c r="M99" s="136"/>
      <c r="N99" s="136">
        <f>(L99*D99*2)+M99</f>
        <v>470</v>
      </c>
      <c r="O99" s="1235">
        <f>((L99*2*D99)+M99)*0.23</f>
        <v>108.10000000000001</v>
      </c>
      <c r="P99" s="73"/>
      <c r="Q99" s="43">
        <f>K99+O99+P99</f>
        <v>1036.1099999999999</v>
      </c>
      <c r="R99" s="832" t="s">
        <v>523</v>
      </c>
      <c r="S99" s="241" t="s">
        <v>409</v>
      </c>
      <c r="U99" s="343"/>
    </row>
    <row r="100" spans="2:21" s="87" customFormat="1" ht="15" customHeight="1">
      <c r="B100" s="172"/>
      <c r="C100" s="172"/>
      <c r="D100" s="61"/>
      <c r="E100" s="60"/>
      <c r="F100" s="60"/>
      <c r="G100" s="60"/>
      <c r="H100" s="60"/>
      <c r="I100" s="60"/>
      <c r="J100" s="60"/>
      <c r="K100" s="106"/>
      <c r="L100" s="132"/>
      <c r="M100" s="61"/>
      <c r="N100" s="61"/>
      <c r="O100" s="42"/>
      <c r="P100" s="73"/>
      <c r="Q100" s="389"/>
      <c r="R100" s="832"/>
      <c r="S100" s="676"/>
      <c r="U100" s="855"/>
    </row>
    <row r="101" spans="2:21" s="91" customFormat="1" ht="15" customHeight="1">
      <c r="B101" s="5"/>
      <c r="C101" s="5"/>
      <c r="D101" s="61"/>
      <c r="E101" s="60"/>
      <c r="F101" s="60"/>
      <c r="G101" s="235"/>
      <c r="H101" s="235"/>
      <c r="I101" s="235"/>
      <c r="J101" s="60"/>
      <c r="K101" s="106"/>
      <c r="L101" s="132"/>
      <c r="M101" s="136"/>
      <c r="N101" s="136"/>
      <c r="O101" s="42"/>
      <c r="P101" s="73"/>
      <c r="Q101" s="43"/>
      <c r="R101" s="832"/>
      <c r="S101" s="241"/>
      <c r="U101" s="343"/>
    </row>
    <row r="102" spans="2:21" s="87" customFormat="1" ht="15" customHeight="1">
      <c r="B102" s="172"/>
      <c r="C102" s="172"/>
      <c r="D102" s="61"/>
      <c r="E102" s="60"/>
      <c r="F102" s="60"/>
      <c r="G102" s="60"/>
      <c r="H102" s="60"/>
      <c r="I102" s="60"/>
      <c r="J102" s="60"/>
      <c r="K102" s="106"/>
      <c r="L102" s="132"/>
      <c r="M102" s="61"/>
      <c r="N102" s="61"/>
      <c r="O102" s="42"/>
      <c r="P102" s="73"/>
      <c r="Q102" s="389"/>
      <c r="R102" s="1212"/>
      <c r="S102" s="676"/>
      <c r="U102" s="409"/>
    </row>
    <row r="103" spans="2:21" s="87" customFormat="1" ht="15" customHeight="1">
      <c r="B103" s="172">
        <f>Periode!B103</f>
        <v>0</v>
      </c>
      <c r="C103" s="172">
        <f>Periode!H103</f>
        <v>0</v>
      </c>
      <c r="D103" s="61"/>
      <c r="E103" s="60"/>
      <c r="F103" s="60"/>
      <c r="G103" s="60"/>
      <c r="H103" s="60"/>
      <c r="I103" s="60"/>
      <c r="J103" s="60"/>
      <c r="K103" s="106"/>
      <c r="L103" s="132"/>
      <c r="M103" s="61"/>
      <c r="N103" s="61"/>
      <c r="O103" s="42"/>
      <c r="P103" s="73"/>
      <c r="Q103" s="389"/>
      <c r="R103" s="722"/>
      <c r="S103" s="407"/>
      <c r="U103" s="409"/>
    </row>
    <row r="104" spans="2:21" s="91" customFormat="1" ht="15" customHeight="1">
      <c r="B104" s="5" t="str">
        <f>Periode!B104</f>
        <v>Michel van der Mark</v>
      </c>
      <c r="C104" s="5" t="str">
        <f>Periode!G104</f>
        <v>32 (4wk)</v>
      </c>
      <c r="D104" s="61">
        <v>5</v>
      </c>
      <c r="E104" s="60">
        <v>40</v>
      </c>
      <c r="F104" s="60"/>
      <c r="G104" s="60"/>
      <c r="H104" s="60"/>
      <c r="I104" s="235"/>
      <c r="J104" s="60"/>
      <c r="K104" s="106">
        <f>(Periode!BB104*E104/40)+((F104+H104+I104)*Periode!BD104/40)+(J104*Periode!BF104/40)+(G104*Periode!BE104/40)</f>
        <v>705.18</v>
      </c>
      <c r="L104" s="132"/>
      <c r="M104" s="136"/>
      <c r="N104" s="136"/>
      <c r="O104" s="42"/>
      <c r="P104" s="73"/>
      <c r="Q104" s="43">
        <f>K104+O104+P104</f>
        <v>705.18</v>
      </c>
      <c r="R104" s="722"/>
      <c r="S104" s="241" t="s">
        <v>209</v>
      </c>
      <c r="U104" s="343"/>
    </row>
    <row r="105" spans="2:21" s="87" customFormat="1" ht="15" customHeight="1">
      <c r="B105" s="172">
        <f>Periode!B105</f>
        <v>0</v>
      </c>
      <c r="C105" s="172">
        <f>Periode!H105</f>
        <v>0</v>
      </c>
      <c r="D105" s="61"/>
      <c r="E105" s="60"/>
      <c r="F105" s="60"/>
      <c r="G105" s="60"/>
      <c r="H105" s="60"/>
      <c r="I105" s="60"/>
      <c r="J105" s="60"/>
      <c r="K105" s="106"/>
      <c r="L105" s="132"/>
      <c r="M105" s="61"/>
      <c r="N105" s="61"/>
      <c r="O105" s="42"/>
      <c r="P105" s="73"/>
      <c r="Q105" s="389"/>
      <c r="R105" s="722"/>
      <c r="S105" s="407"/>
      <c r="U105" s="409"/>
    </row>
    <row r="106" spans="2:21" s="87" customFormat="1" ht="15" customHeight="1">
      <c r="B106" s="172">
        <f>Periode!B106</f>
        <v>0</v>
      </c>
      <c r="C106" s="172">
        <f>Periode!H106</f>
        <v>0</v>
      </c>
      <c r="D106" s="61"/>
      <c r="E106" s="60"/>
      <c r="F106" s="60"/>
      <c r="G106" s="60"/>
      <c r="H106" s="60"/>
      <c r="I106" s="60"/>
      <c r="J106" s="60"/>
      <c r="K106" s="106"/>
      <c r="L106" s="132"/>
      <c r="M106" s="61"/>
      <c r="N106" s="61"/>
      <c r="O106" s="42"/>
      <c r="P106" s="73"/>
      <c r="Q106" s="389"/>
      <c r="R106" s="722"/>
      <c r="S106" s="407"/>
      <c r="U106" s="409"/>
    </row>
    <row r="107" spans="2:21" s="91" customFormat="1" ht="15" customHeight="1">
      <c r="B107" s="5"/>
      <c r="C107" s="5"/>
      <c r="D107" s="61"/>
      <c r="E107" s="60"/>
      <c r="F107" s="60"/>
      <c r="G107" s="60"/>
      <c r="H107" s="60"/>
      <c r="I107" s="60"/>
      <c r="J107" s="60"/>
      <c r="K107" s="106"/>
      <c r="L107" s="132"/>
      <c r="M107" s="136"/>
      <c r="N107" s="136"/>
      <c r="O107" s="42"/>
      <c r="P107" s="73"/>
      <c r="Q107" s="43"/>
      <c r="R107" s="722"/>
      <c r="S107" s="241"/>
      <c r="U107" s="343"/>
    </row>
    <row r="108" spans="2:21" s="87" customFormat="1" ht="15" customHeight="1">
      <c r="B108" s="172">
        <f>Periode!B108</f>
        <v>0</v>
      </c>
      <c r="C108" s="172">
        <f>Periode!H108</f>
        <v>0</v>
      </c>
      <c r="D108" s="61"/>
      <c r="E108" s="60"/>
      <c r="F108" s="60"/>
      <c r="G108" s="60"/>
      <c r="H108" s="60"/>
      <c r="I108" s="60"/>
      <c r="J108" s="60"/>
      <c r="K108" s="106"/>
      <c r="L108" s="132"/>
      <c r="M108" s="61"/>
      <c r="N108" s="61"/>
      <c r="O108" s="42"/>
      <c r="P108" s="73"/>
      <c r="Q108" s="389"/>
      <c r="R108" s="1213"/>
      <c r="S108" s="407"/>
      <c r="U108" s="409"/>
    </row>
    <row r="109" spans="2:21" s="87" customFormat="1" ht="15" customHeight="1">
      <c r="B109" s="172">
        <f>Periode!B109</f>
        <v>0</v>
      </c>
      <c r="C109" s="172">
        <f>Periode!H109</f>
        <v>0</v>
      </c>
      <c r="D109" s="61"/>
      <c r="E109" s="60"/>
      <c r="F109" s="60"/>
      <c r="G109" s="60"/>
      <c r="H109" s="60"/>
      <c r="I109" s="60"/>
      <c r="J109" s="60"/>
      <c r="K109" s="106"/>
      <c r="L109" s="132"/>
      <c r="M109" s="61"/>
      <c r="N109" s="61"/>
      <c r="O109" s="42"/>
      <c r="P109" s="73"/>
      <c r="Q109" s="389"/>
      <c r="R109" s="1210"/>
      <c r="S109" s="407"/>
      <c r="U109" s="409"/>
    </row>
    <row r="110" spans="2:21" s="91" customFormat="1" ht="15" customHeight="1">
      <c r="B110" s="5" t="str">
        <f>Periode!B110</f>
        <v>Jan Harteveld</v>
      </c>
      <c r="C110" s="5" t="str">
        <f>Periode!G110</f>
        <v>150 (4wk)</v>
      </c>
      <c r="D110" s="61">
        <v>5</v>
      </c>
      <c r="E110" s="60">
        <v>37.5</v>
      </c>
      <c r="F110" s="60"/>
      <c r="G110" s="60"/>
      <c r="H110" s="235"/>
      <c r="I110" s="235"/>
      <c r="J110" s="60"/>
      <c r="K110" s="106">
        <f>(Periode!BB110*E110/40)+((F110+H110+I110)*Periode!BD110/40)+(J110*Periode!BF110/40)+(G110*Periode!BE110/40)</f>
        <v>743.76562499999989</v>
      </c>
      <c r="L110" s="132">
        <v>14</v>
      </c>
      <c r="M110" s="136"/>
      <c r="N110" s="136">
        <f>(L110*D110*2)+M110</f>
        <v>140</v>
      </c>
      <c r="O110" s="561">
        <f>((L110*2*D110)+M110)*0.25</f>
        <v>35</v>
      </c>
      <c r="P110" s="73"/>
      <c r="Q110" s="43">
        <f>K110+O110+P110</f>
        <v>778.76562499999989</v>
      </c>
      <c r="R110" s="722" t="s">
        <v>511</v>
      </c>
      <c r="S110" s="241" t="s">
        <v>513</v>
      </c>
      <c r="U110" s="343"/>
    </row>
    <row r="111" spans="2:21" s="87" customFormat="1" ht="15" customHeight="1">
      <c r="B111" s="172">
        <f>Periode!B111</f>
        <v>0</v>
      </c>
      <c r="C111" s="172">
        <f>Periode!H111</f>
        <v>0</v>
      </c>
      <c r="D111" s="61"/>
      <c r="E111" s="60"/>
      <c r="F111" s="60"/>
      <c r="G111" s="60"/>
      <c r="H111" s="60"/>
      <c r="I111" s="60"/>
      <c r="J111" s="60"/>
      <c r="K111" s="106"/>
      <c r="L111" s="132"/>
      <c r="M111" s="61"/>
      <c r="N111" s="61"/>
      <c r="O111" s="42"/>
      <c r="P111" s="73"/>
      <c r="Q111" s="389"/>
      <c r="R111" s="722"/>
      <c r="S111" s="407"/>
      <c r="U111" s="409"/>
    </row>
    <row r="112" spans="2:21" s="87" customFormat="1" ht="15" customHeight="1">
      <c r="B112" s="172">
        <f>Periode!B112</f>
        <v>0</v>
      </c>
      <c r="C112" s="172">
        <f>Periode!H112</f>
        <v>0</v>
      </c>
      <c r="D112" s="61"/>
      <c r="E112" s="60"/>
      <c r="F112" s="60"/>
      <c r="G112" s="60"/>
      <c r="H112" s="60"/>
      <c r="I112" s="60"/>
      <c r="J112" s="60"/>
      <c r="K112" s="106"/>
      <c r="L112" s="132"/>
      <c r="M112" s="61"/>
      <c r="N112" s="61"/>
      <c r="O112" s="42"/>
      <c r="P112" s="73"/>
      <c r="Q112" s="389"/>
      <c r="R112" s="722"/>
      <c r="S112" s="407"/>
      <c r="U112" s="409"/>
    </row>
    <row r="113" spans="2:21" s="91" customFormat="1" ht="15" customHeight="1">
      <c r="B113" s="5"/>
      <c r="C113" s="5"/>
      <c r="D113" s="61"/>
      <c r="E113" s="60"/>
      <c r="F113" s="60"/>
      <c r="G113" s="235"/>
      <c r="H113" s="235"/>
      <c r="I113" s="235"/>
      <c r="J113" s="60"/>
      <c r="K113" s="106"/>
      <c r="L113" s="132"/>
      <c r="M113" s="136"/>
      <c r="N113" s="136"/>
      <c r="O113" s="42"/>
      <c r="P113" s="73"/>
      <c r="Q113" s="43"/>
      <c r="R113" s="722"/>
      <c r="S113" s="241"/>
      <c r="U113" s="343"/>
    </row>
    <row r="114" spans="2:21" s="87" customFormat="1" ht="15" customHeight="1">
      <c r="B114" s="172">
        <f>Periode!B114</f>
        <v>0</v>
      </c>
      <c r="C114" s="172">
        <f>Periode!H114</f>
        <v>0</v>
      </c>
      <c r="D114" s="61"/>
      <c r="E114" s="60"/>
      <c r="F114" s="60"/>
      <c r="G114" s="60"/>
      <c r="H114" s="60"/>
      <c r="I114" s="60"/>
      <c r="J114" s="60"/>
      <c r="K114" s="106"/>
      <c r="L114" s="132"/>
      <c r="M114" s="61"/>
      <c r="N114" s="61"/>
      <c r="O114" s="42"/>
      <c r="P114" s="73"/>
      <c r="Q114" s="389"/>
      <c r="R114" s="722"/>
      <c r="S114" s="407"/>
      <c r="U114" s="409"/>
    </row>
    <row r="115" spans="2:21" s="87" customFormat="1" ht="15" customHeight="1">
      <c r="B115" s="172">
        <f>Periode!B115</f>
        <v>0</v>
      </c>
      <c r="C115" s="172">
        <f>Periode!H115</f>
        <v>0</v>
      </c>
      <c r="D115" s="61"/>
      <c r="E115" s="60"/>
      <c r="F115" s="60"/>
      <c r="G115" s="60"/>
      <c r="H115" s="60"/>
      <c r="I115" s="60"/>
      <c r="J115" s="60"/>
      <c r="K115" s="106"/>
      <c r="L115" s="132"/>
      <c r="M115" s="61"/>
      <c r="N115" s="61"/>
      <c r="O115" s="42"/>
      <c r="P115" s="73"/>
      <c r="Q115" s="389"/>
      <c r="R115" s="722"/>
      <c r="S115" s="407"/>
      <c r="U115" s="409"/>
    </row>
    <row r="116" spans="2:21" s="91" customFormat="1" ht="15" customHeight="1">
      <c r="B116" s="5" t="str">
        <f>Periode!B116</f>
        <v>Asanty Raafenberg</v>
      </c>
      <c r="C116" s="5" t="str">
        <f>Periode!G116</f>
        <v>0</v>
      </c>
      <c r="D116" s="61">
        <v>5</v>
      </c>
      <c r="E116" s="60">
        <v>40</v>
      </c>
      <c r="F116" s="60"/>
      <c r="G116" s="60"/>
      <c r="H116" s="60"/>
      <c r="I116" s="60"/>
      <c r="J116" s="60"/>
      <c r="K116" s="106">
        <f>(Periode!BB116*E116/40)+((F116+H116+I116)*Periode!BD116/40)+(J116*Periode!BF116/40)+(G116*Periode!BE116/40)</f>
        <v>660.28</v>
      </c>
      <c r="L116" s="132"/>
      <c r="M116" s="136"/>
      <c r="N116" s="136"/>
      <c r="O116" s="42"/>
      <c r="P116" s="73"/>
      <c r="Q116" s="389">
        <f>K116+O116+P116</f>
        <v>660.28</v>
      </c>
      <c r="R116" s="722" t="s">
        <v>254</v>
      </c>
      <c r="S116" s="241" t="s">
        <v>225</v>
      </c>
      <c r="U116" s="343"/>
    </row>
    <row r="117" spans="2:21" s="91" customFormat="1" ht="15" customHeight="1">
      <c r="B117" s="242"/>
      <c r="C117" s="242"/>
      <c r="D117" s="243"/>
      <c r="E117" s="406"/>
      <c r="F117" s="406"/>
      <c r="G117" s="406"/>
      <c r="H117" s="406"/>
      <c r="I117" s="406"/>
      <c r="J117" s="406"/>
      <c r="K117" s="244"/>
      <c r="L117" s="243">
        <v>16</v>
      </c>
      <c r="M117" s="243"/>
      <c r="N117" s="243"/>
      <c r="O117" s="245"/>
      <c r="P117" s="245"/>
      <c r="Q117" s="395"/>
      <c r="R117" s="1177"/>
      <c r="S117" s="241"/>
      <c r="U117" s="343"/>
    </row>
    <row r="118" spans="2:21" s="87" customFormat="1" ht="15" customHeight="1">
      <c r="B118" s="172">
        <f>Periode!B118</f>
        <v>0</v>
      </c>
      <c r="C118" s="172">
        <f>Periode!H118</f>
        <v>0</v>
      </c>
      <c r="D118" s="61"/>
      <c r="E118" s="60"/>
      <c r="F118" s="60"/>
      <c r="G118" s="60"/>
      <c r="H118" s="60"/>
      <c r="I118" s="60"/>
      <c r="J118" s="60"/>
      <c r="K118" s="106"/>
      <c r="L118" s="132"/>
      <c r="M118" s="61"/>
      <c r="N118" s="61"/>
      <c r="O118" s="42"/>
      <c r="P118" s="73"/>
      <c r="Q118" s="389"/>
      <c r="R118" s="1177"/>
      <c r="S118" s="407"/>
      <c r="U118" s="409"/>
    </row>
    <row r="119" spans="2:21" s="91" customFormat="1" ht="15" customHeight="1">
      <c r="B119" s="5" t="str">
        <f>Periode!B119</f>
        <v>Patrick Serlier</v>
      </c>
      <c r="C119" s="5" t="str">
        <f>Periode!G119</f>
        <v>32 (4wk)</v>
      </c>
      <c r="D119" s="61">
        <v>5</v>
      </c>
      <c r="E119" s="60">
        <v>40</v>
      </c>
      <c r="F119" s="60"/>
      <c r="G119" s="235"/>
      <c r="H119" s="60"/>
      <c r="I119" s="235"/>
      <c r="J119" s="60"/>
      <c r="K119" s="106">
        <f>(Periode!BB119*E119/40)+((F119+H119+I119)*Periode!BD119/40)+(J119*Periode!BF119/40)+(G119*Periode!BE119/40)</f>
        <v>675.47</v>
      </c>
      <c r="L119" s="132"/>
      <c r="M119" s="136"/>
      <c r="N119" s="136"/>
      <c r="O119" s="42"/>
      <c r="P119" s="73"/>
      <c r="Q119" s="43">
        <f>K119+O119+P119</f>
        <v>675.47</v>
      </c>
      <c r="R119" s="722"/>
      <c r="S119" s="241" t="s">
        <v>231</v>
      </c>
      <c r="U119" s="343"/>
    </row>
    <row r="120" spans="2:21" s="87" customFormat="1" ht="15" customHeight="1">
      <c r="B120" s="172">
        <f>Periode!B120</f>
        <v>0</v>
      </c>
      <c r="C120" s="172">
        <f>Periode!H120</f>
        <v>0</v>
      </c>
      <c r="D120" s="61"/>
      <c r="E120" s="60"/>
      <c r="F120" s="60"/>
      <c r="G120" s="60"/>
      <c r="H120" s="60"/>
      <c r="I120" s="60"/>
      <c r="J120" s="60"/>
      <c r="K120" s="106"/>
      <c r="L120" s="132"/>
      <c r="M120" s="61"/>
      <c r="N120" s="61"/>
      <c r="O120" s="42"/>
      <c r="P120" s="73"/>
      <c r="Q120" s="389"/>
      <c r="R120" s="1210"/>
      <c r="S120" s="407"/>
      <c r="U120" s="409"/>
    </row>
    <row r="121" spans="2:21" s="87" customFormat="1" ht="15" customHeight="1">
      <c r="B121" s="172">
        <f>Periode!B121</f>
        <v>0</v>
      </c>
      <c r="C121" s="172">
        <f>Periode!H121</f>
        <v>0</v>
      </c>
      <c r="D121" s="61"/>
      <c r="E121" s="60"/>
      <c r="F121" s="60"/>
      <c r="G121" s="60"/>
      <c r="H121" s="60"/>
      <c r="I121" s="60"/>
      <c r="J121" s="60"/>
      <c r="K121" s="106"/>
      <c r="L121" s="132"/>
      <c r="M121" s="61"/>
      <c r="N121" s="61"/>
      <c r="O121" s="42"/>
      <c r="P121" s="73"/>
      <c r="Q121" s="389"/>
      <c r="R121" s="722"/>
      <c r="S121" s="407"/>
      <c r="U121" s="409"/>
    </row>
    <row r="122" spans="2:21" s="87" customFormat="1" ht="15" customHeight="1">
      <c r="B122" s="172">
        <f>Periode!B122</f>
        <v>0</v>
      </c>
      <c r="C122" s="172">
        <f>Periode!H122</f>
        <v>0</v>
      </c>
      <c r="D122" s="61"/>
      <c r="E122" s="60"/>
      <c r="F122" s="60"/>
      <c r="G122" s="60"/>
      <c r="H122" s="60"/>
      <c r="I122" s="60"/>
      <c r="J122" s="60"/>
      <c r="K122" s="106"/>
      <c r="L122" s="132"/>
      <c r="M122" s="61"/>
      <c r="N122" s="61"/>
      <c r="O122" s="42"/>
      <c r="P122" s="73"/>
      <c r="Q122" s="389"/>
      <c r="R122" s="722"/>
      <c r="S122" s="407"/>
      <c r="U122" s="409"/>
    </row>
    <row r="123" spans="2:21" s="91" customFormat="1" ht="15" customHeight="1">
      <c r="B123" s="5" t="str">
        <f>Periode!B123</f>
        <v>Pieter van Houwelingen</v>
      </c>
      <c r="C123" s="5" t="str">
        <f>Periode!G123</f>
        <v>32 (4wk)</v>
      </c>
      <c r="D123" s="61">
        <v>5</v>
      </c>
      <c r="E123" s="60">
        <v>38</v>
      </c>
      <c r="F123" s="60"/>
      <c r="G123" s="235"/>
      <c r="H123" s="235"/>
      <c r="I123" s="235"/>
      <c r="J123" s="60"/>
      <c r="K123" s="106">
        <f>(Periode!BB123*E123/40)+((F123+H123+I123)*Periode!BD123/40)+(J123*Periode!BF123/40)+(G123*Periode!BE123/40)</f>
        <v>998.29325000000006</v>
      </c>
      <c r="L123" s="704">
        <v>32.5</v>
      </c>
      <c r="M123" s="136"/>
      <c r="N123" s="136">
        <f>(L123*D123*2)+M123</f>
        <v>325</v>
      </c>
      <c r="O123" s="561">
        <f>((L123*2*D123)+M123)*0.25</f>
        <v>81.25</v>
      </c>
      <c r="P123" s="73"/>
      <c r="Q123" s="43">
        <f>K123+O123+P123</f>
        <v>1079.5432500000002</v>
      </c>
      <c r="R123" s="722" t="s">
        <v>459</v>
      </c>
      <c r="S123" s="241" t="s">
        <v>197</v>
      </c>
      <c r="U123" s="343"/>
    </row>
    <row r="124" spans="2:21" s="87" customFormat="1" ht="15" customHeight="1">
      <c r="B124" s="172">
        <f>Periode!B124</f>
        <v>0</v>
      </c>
      <c r="C124" s="172">
        <f>Periode!H124</f>
        <v>0</v>
      </c>
      <c r="D124" s="61"/>
      <c r="E124" s="60"/>
      <c r="F124" s="60"/>
      <c r="G124" s="60"/>
      <c r="H124" s="60"/>
      <c r="I124" s="60"/>
      <c r="J124" s="60"/>
      <c r="K124" s="106"/>
      <c r="L124" s="132"/>
      <c r="M124" s="61"/>
      <c r="N124" s="61"/>
      <c r="O124" s="42"/>
      <c r="P124" s="73"/>
      <c r="Q124" s="389"/>
      <c r="R124" s="722"/>
      <c r="S124" s="407"/>
      <c r="U124" s="409"/>
    </row>
    <row r="125" spans="2:21" s="91" customFormat="1" ht="15" customHeight="1">
      <c r="B125" s="1149" t="str">
        <f>Periode!B125</f>
        <v>John van der Wel</v>
      </c>
      <c r="C125" s="5">
        <f>Periode!G125</f>
        <v>0</v>
      </c>
      <c r="D125" s="61">
        <v>5</v>
      </c>
      <c r="E125" s="60">
        <v>37.5</v>
      </c>
      <c r="F125" s="60"/>
      <c r="G125" s="235"/>
      <c r="H125" s="235"/>
      <c r="I125" s="235"/>
      <c r="J125" s="60"/>
      <c r="K125" s="106">
        <f>(Periode!BB125*E125/40)+((F125+H125+I125)*Periode!BD125/40)+(J125*Periode!BF125/40)+(G125*Periode!BE125/40)</f>
        <v>605.60625000000005</v>
      </c>
      <c r="L125" s="704"/>
      <c r="M125" s="136"/>
      <c r="N125" s="136"/>
      <c r="O125" s="42"/>
      <c r="P125" s="73">
        <v>-65.06</v>
      </c>
      <c r="Q125" s="43">
        <f>K125+O125+P125</f>
        <v>540.5462500000001</v>
      </c>
      <c r="R125" s="722" t="s">
        <v>519</v>
      </c>
      <c r="S125" s="241" t="s">
        <v>451</v>
      </c>
      <c r="U125" s="343"/>
    </row>
    <row r="126" spans="2:21" s="91" customFormat="1" ht="15" customHeight="1">
      <c r="B126" s="5"/>
      <c r="C126" s="5"/>
      <c r="D126" s="61"/>
      <c r="E126" s="60"/>
      <c r="F126" s="60"/>
      <c r="G126" s="60"/>
      <c r="H126" s="235"/>
      <c r="I126" s="235"/>
      <c r="J126" s="60"/>
      <c r="K126" s="106"/>
      <c r="L126" s="132"/>
      <c r="M126" s="136"/>
      <c r="N126" s="136"/>
      <c r="O126" s="42"/>
      <c r="P126" s="73"/>
      <c r="Q126" s="43"/>
      <c r="R126" s="722" t="s">
        <v>479</v>
      </c>
      <c r="S126" s="241"/>
      <c r="U126" s="343"/>
    </row>
    <row r="127" spans="2:21" s="87" customFormat="1" ht="15" customHeight="1">
      <c r="B127" s="172">
        <f>Periode!B127</f>
        <v>0</v>
      </c>
      <c r="C127" s="172">
        <f>Periode!H127</f>
        <v>0</v>
      </c>
      <c r="D127" s="61"/>
      <c r="E127" s="60"/>
      <c r="F127" s="60"/>
      <c r="G127" s="60"/>
      <c r="H127" s="60"/>
      <c r="I127" s="60"/>
      <c r="J127" s="60"/>
      <c r="K127" s="106"/>
      <c r="L127" s="132"/>
      <c r="M127" s="61"/>
      <c r="N127" s="61"/>
      <c r="O127" s="42"/>
      <c r="P127" s="73"/>
      <c r="Q127" s="389"/>
      <c r="R127" s="1177"/>
      <c r="S127" s="407"/>
      <c r="U127" s="409"/>
    </row>
    <row r="128" spans="2:21" s="87" customFormat="1" ht="15" customHeight="1">
      <c r="B128" s="172">
        <f>Periode!B128</f>
        <v>0</v>
      </c>
      <c r="C128" s="172">
        <f>Periode!H128</f>
        <v>0</v>
      </c>
      <c r="D128" s="61"/>
      <c r="E128" s="60"/>
      <c r="F128" s="60"/>
      <c r="G128" s="60"/>
      <c r="H128" s="60"/>
      <c r="I128" s="60"/>
      <c r="J128" s="60"/>
      <c r="K128" s="106"/>
      <c r="L128" s="132"/>
      <c r="M128" s="61"/>
      <c r="N128" s="61"/>
      <c r="O128" s="42"/>
      <c r="P128" s="73"/>
      <c r="Q128" s="389"/>
      <c r="R128" s="722"/>
      <c r="S128" s="407"/>
      <c r="U128" s="409"/>
    </row>
    <row r="129" spans="2:26" s="91" customFormat="1" ht="15" customHeight="1">
      <c r="B129" s="5" t="str">
        <f>Periode!B129</f>
        <v>Marcel Spruijt</v>
      </c>
      <c r="C129" s="5" t="str">
        <f>Periode!G129</f>
        <v>32 (4wk)</v>
      </c>
      <c r="D129" s="61">
        <v>5</v>
      </c>
      <c r="E129" s="60">
        <v>40</v>
      </c>
      <c r="F129" s="60"/>
      <c r="G129" s="235"/>
      <c r="H129" s="60"/>
      <c r="I129" s="235"/>
      <c r="J129" s="60"/>
      <c r="K129" s="106">
        <f>(Periode!BB129*E129/40)+((F129+H129+I129)*Periode!BD129/40)+(J129*Periode!BF129/40)+(G129*Periode!BE129/40)</f>
        <v>751.94</v>
      </c>
      <c r="L129" s="132"/>
      <c r="M129" s="136"/>
      <c r="N129" s="136"/>
      <c r="O129" s="42"/>
      <c r="P129" s="73"/>
      <c r="Q129" s="43">
        <f>K129+O129+P129</f>
        <v>751.94</v>
      </c>
      <c r="R129" s="722"/>
      <c r="S129" s="241" t="s">
        <v>187</v>
      </c>
      <c r="U129" s="343"/>
    </row>
    <row r="130" spans="2:26" s="87" customFormat="1" ht="15" customHeight="1">
      <c r="B130" s="172">
        <f>Periode!B130</f>
        <v>0</v>
      </c>
      <c r="C130" s="172">
        <f>Periode!H130</f>
        <v>0</v>
      </c>
      <c r="D130" s="61"/>
      <c r="E130" s="60"/>
      <c r="F130" s="60"/>
      <c r="G130" s="60"/>
      <c r="H130" s="60"/>
      <c r="I130" s="60"/>
      <c r="J130" s="60"/>
      <c r="K130" s="106"/>
      <c r="L130" s="132"/>
      <c r="M130" s="61"/>
      <c r="N130" s="61"/>
      <c r="O130" s="659"/>
      <c r="P130" s="73"/>
      <c r="Q130" s="389"/>
      <c r="R130" s="722"/>
      <c r="S130" s="407"/>
      <c r="T130" s="1"/>
      <c r="U130" s="411"/>
      <c r="V130" s="1"/>
      <c r="W130" s="1"/>
      <c r="X130" s="1"/>
      <c r="Y130" s="1"/>
      <c r="Z130" s="1"/>
    </row>
    <row r="131" spans="2:26" s="91" customFormat="1" ht="15" customHeight="1">
      <c r="B131" s="1149" t="str">
        <f>Periode!B131</f>
        <v>Michael Windhorst</v>
      </c>
      <c r="C131" s="5" t="str">
        <f>Periode!G131</f>
        <v>0</v>
      </c>
      <c r="D131" s="61">
        <v>5</v>
      </c>
      <c r="E131" s="60">
        <v>40</v>
      </c>
      <c r="F131" s="60"/>
      <c r="G131" s="235"/>
      <c r="H131" s="235"/>
      <c r="I131" s="235"/>
      <c r="J131" s="60"/>
      <c r="K131" s="106">
        <f>(Periode!BB131*E131/40)+((F131+H131+I131)*Periode!BD131/40)+(J131*Periode!BF131/40)+(G131*Periode!BE131/40)</f>
        <v>628</v>
      </c>
      <c r="L131" s="132"/>
      <c r="M131" s="136"/>
      <c r="N131" s="136"/>
      <c r="O131" s="42"/>
      <c r="P131" s="73"/>
      <c r="Q131" s="43">
        <f>K131+O131+P131</f>
        <v>628</v>
      </c>
      <c r="R131" s="722"/>
      <c r="S131" s="241" t="s">
        <v>441</v>
      </c>
      <c r="U131" s="343"/>
    </row>
    <row r="132" spans="2:26" s="91" customFormat="1" ht="15" customHeight="1">
      <c r="B132" s="5"/>
      <c r="C132" s="5"/>
      <c r="D132" s="61"/>
      <c r="E132" s="60"/>
      <c r="F132" s="60"/>
      <c r="G132" s="235"/>
      <c r="H132" s="235"/>
      <c r="I132" s="235"/>
      <c r="J132" s="60"/>
      <c r="K132" s="106"/>
      <c r="L132" s="132"/>
      <c r="M132" s="136"/>
      <c r="N132" s="136"/>
      <c r="O132" s="42"/>
      <c r="P132" s="73"/>
      <c r="Q132" s="43"/>
      <c r="R132" s="1231" t="s">
        <v>446</v>
      </c>
      <c r="S132" s="241"/>
      <c r="U132" s="343"/>
    </row>
    <row r="133" spans="2:26" s="87" customFormat="1" ht="15" customHeight="1" thickBot="1">
      <c r="B133" s="172">
        <f>Periode!B133</f>
        <v>0</v>
      </c>
      <c r="C133" s="172">
        <f>Periode!H133</f>
        <v>0</v>
      </c>
      <c r="D133" s="61"/>
      <c r="E133" s="60"/>
      <c r="F133" s="60"/>
      <c r="G133" s="60"/>
      <c r="H133" s="60"/>
      <c r="I133" s="60"/>
      <c r="J133" s="438"/>
      <c r="K133" s="106"/>
      <c r="L133" s="132"/>
      <c r="M133" s="61"/>
      <c r="N133" s="61"/>
      <c r="O133" s="90"/>
      <c r="P133" s="73"/>
      <c r="Q133" s="389"/>
      <c r="R133" s="962">
        <f>K134</f>
        <v>542.49250000000006</v>
      </c>
      <c r="U133" s="409"/>
    </row>
    <row r="134" spans="2:26" s="91" customFormat="1" ht="15" customHeight="1">
      <c r="B134" s="1149" t="str">
        <f>Periode!B134</f>
        <v>Remco van Doorne</v>
      </c>
      <c r="C134" s="5">
        <f>Periode!G134</f>
        <v>0</v>
      </c>
      <c r="D134" s="61">
        <v>5</v>
      </c>
      <c r="E134" s="60">
        <v>40</v>
      </c>
      <c r="F134" s="60"/>
      <c r="G134" s="235"/>
      <c r="H134" s="235"/>
      <c r="I134" s="235"/>
      <c r="J134" s="60"/>
      <c r="K134" s="106">
        <f>(Periode!BB134*E134/40)+((F134+H134+I134)*Periode!BD134/40)+(J134*Periode!BF134/40)+(G134*Periode!BE134/40)</f>
        <v>542.49250000000006</v>
      </c>
      <c r="L134" s="704"/>
      <c r="M134" s="136"/>
      <c r="N134" s="136"/>
      <c r="O134" s="42"/>
      <c r="P134" s="1146">
        <f>(D134*Periode!AY134)</f>
        <v>52.15</v>
      </c>
      <c r="Q134" s="43">
        <f>K134+O134+P134</f>
        <v>594.64250000000004</v>
      </c>
      <c r="R134" s="962" t="s">
        <v>454</v>
      </c>
      <c r="S134" s="878" t="s">
        <v>429</v>
      </c>
      <c r="T134" s="825"/>
      <c r="U134" s="826"/>
      <c r="V134" s="825"/>
      <c r="W134" s="825"/>
      <c r="X134" s="825"/>
      <c r="Y134" s="827"/>
    </row>
    <row r="135" spans="2:26" s="91" customFormat="1" ht="15" customHeight="1">
      <c r="B135" s="5"/>
      <c r="C135" s="5"/>
      <c r="D135" s="61"/>
      <c r="E135" s="60"/>
      <c r="F135" s="60"/>
      <c r="G135" s="235"/>
      <c r="H135" s="235"/>
      <c r="I135" s="235"/>
      <c r="J135" s="60"/>
      <c r="K135" s="106"/>
      <c r="L135" s="132"/>
      <c r="M135" s="136"/>
      <c r="N135" s="136"/>
      <c r="O135" s="42"/>
      <c r="P135" s="73"/>
      <c r="Q135" s="43"/>
      <c r="R135" s="962">
        <f>P134</f>
        <v>52.15</v>
      </c>
      <c r="S135" s="676" t="s">
        <v>432</v>
      </c>
      <c r="U135" s="343"/>
      <c r="Y135" s="858"/>
    </row>
    <row r="136" spans="2:26" s="87" customFormat="1" ht="15" customHeight="1" thickBot="1">
      <c r="B136" s="172">
        <f>Periode!B136</f>
        <v>0</v>
      </c>
      <c r="C136" s="172">
        <f>Periode!H136</f>
        <v>0</v>
      </c>
      <c r="D136" s="61"/>
      <c r="E136" s="60"/>
      <c r="F136" s="60"/>
      <c r="G136" s="60"/>
      <c r="H136" s="60"/>
      <c r="I136" s="60"/>
      <c r="J136" s="60"/>
      <c r="K136" s="106"/>
      <c r="L136" s="132"/>
      <c r="M136" s="61"/>
      <c r="N136" s="61"/>
      <c r="O136" s="659"/>
      <c r="P136" s="73"/>
      <c r="Q136" s="389"/>
      <c r="R136" s="1230"/>
      <c r="S136" s="877" t="s">
        <v>433</v>
      </c>
      <c r="T136" s="1179"/>
      <c r="U136" s="1180"/>
      <c r="V136" s="1179"/>
      <c r="W136" s="1179"/>
      <c r="X136" s="1179"/>
      <c r="Y136" s="1181"/>
      <c r="Z136" s="1"/>
    </row>
    <row r="137" spans="2:26" s="87" customFormat="1" ht="15" customHeight="1">
      <c r="B137" s="172">
        <f>Periode!B137</f>
        <v>0</v>
      </c>
      <c r="C137" s="172">
        <f>Periode!H137</f>
        <v>0</v>
      </c>
      <c r="D137" s="61"/>
      <c r="E137" s="60"/>
      <c r="F137" s="60"/>
      <c r="G137" s="60"/>
      <c r="H137" s="60"/>
      <c r="I137" s="60"/>
      <c r="J137" s="60"/>
      <c r="K137" s="106"/>
      <c r="L137" s="132"/>
      <c r="M137" s="61"/>
      <c r="N137" s="61"/>
      <c r="O137" s="659"/>
      <c r="P137" s="73"/>
      <c r="Q137" s="389"/>
      <c r="R137" s="971"/>
      <c r="S137" s="407"/>
      <c r="T137" s="1"/>
      <c r="U137" s="411"/>
      <c r="V137" s="1"/>
      <c r="W137" s="1"/>
      <c r="X137" s="1"/>
      <c r="Y137" s="1"/>
      <c r="Z137" s="1"/>
    </row>
    <row r="138" spans="2:26" s="91" customFormat="1" ht="15" customHeight="1">
      <c r="B138" s="5" t="str">
        <f>Periode!B138</f>
        <v>Rob Valkenburg</v>
      </c>
      <c r="C138" s="5" t="str">
        <f>Periode!G138</f>
        <v>0</v>
      </c>
      <c r="D138" s="61">
        <v>5</v>
      </c>
      <c r="E138" s="60">
        <v>36.5</v>
      </c>
      <c r="F138" s="235"/>
      <c r="G138" s="60"/>
      <c r="H138" s="235"/>
      <c r="I138" s="235"/>
      <c r="J138" s="60"/>
      <c r="K138" s="106">
        <f>(Periode!BB138*E138/40)+((F138+H138+I138)*Periode!BD138/40)+(J138*Periode!BF138/40)+(G138*Periode!BE138/40)</f>
        <v>667.86787500000003</v>
      </c>
      <c r="L138" s="132">
        <v>35</v>
      </c>
      <c r="M138" s="136"/>
      <c r="N138" s="136">
        <f>(L138*D138*2)+M138</f>
        <v>350</v>
      </c>
      <c r="O138" s="42">
        <f>((L138*2*D138)+M138)*0.28</f>
        <v>98.000000000000014</v>
      </c>
      <c r="P138" s="73"/>
      <c r="Q138" s="43">
        <f>K138+O138+P138</f>
        <v>765.86787500000003</v>
      </c>
      <c r="R138" s="722" t="s">
        <v>515</v>
      </c>
      <c r="S138" s="241" t="s">
        <v>437</v>
      </c>
      <c r="U138" s="343"/>
    </row>
    <row r="139" spans="2:26" s="87" customFormat="1" ht="15" customHeight="1">
      <c r="B139" s="172">
        <f>Periode!B139</f>
        <v>0</v>
      </c>
      <c r="C139" s="172">
        <f>Periode!H139</f>
        <v>0</v>
      </c>
      <c r="D139" s="61"/>
      <c r="E139" s="60"/>
      <c r="F139" s="60"/>
      <c r="G139" s="60"/>
      <c r="H139" s="60"/>
      <c r="I139" s="60"/>
      <c r="J139" s="60"/>
      <c r="K139" s="106"/>
      <c r="L139" s="132"/>
      <c r="M139" s="61"/>
      <c r="N139" s="61"/>
      <c r="O139" s="42"/>
      <c r="P139" s="73"/>
      <c r="Q139" s="389"/>
      <c r="R139" s="722"/>
      <c r="S139" s="407"/>
      <c r="T139" s="1"/>
      <c r="U139" s="411"/>
      <c r="V139" s="1"/>
      <c r="W139" s="1"/>
      <c r="X139" s="1"/>
      <c r="Y139" s="1"/>
      <c r="Z139" s="1"/>
    </row>
    <row r="140" spans="2:26" s="91" customFormat="1" ht="15" customHeight="1">
      <c r="B140" s="5"/>
      <c r="C140" s="5"/>
      <c r="D140" s="61"/>
      <c r="E140" s="60"/>
      <c r="F140" s="235"/>
      <c r="G140" s="235"/>
      <c r="H140" s="235"/>
      <c r="I140" s="235"/>
      <c r="J140" s="235"/>
      <c r="K140" s="106"/>
      <c r="L140" s="132"/>
      <c r="M140" s="136"/>
      <c r="N140" s="136"/>
      <c r="O140" s="42"/>
      <c r="P140" s="42"/>
      <c r="Q140" s="43"/>
      <c r="R140" s="814"/>
      <c r="S140" s="241"/>
      <c r="U140" s="343"/>
    </row>
    <row r="141" spans="2:26" s="91" customFormat="1" ht="15" customHeight="1">
      <c r="B141" s="1149" t="str">
        <f>Periode!B141</f>
        <v>Herman Vos</v>
      </c>
      <c r="C141" s="5">
        <f>Periode!G141</f>
        <v>0</v>
      </c>
      <c r="D141" s="61">
        <v>4</v>
      </c>
      <c r="E141" s="60">
        <v>32</v>
      </c>
      <c r="F141" s="60"/>
      <c r="G141" s="60"/>
      <c r="H141" s="60">
        <v>8</v>
      </c>
      <c r="I141" s="60"/>
      <c r="J141" s="60"/>
      <c r="K141" s="106">
        <f>(Periode!BB141*E141/40)+((F141+H141+I141)*Periode!BD141/40)+(J141*Periode!BF141/40)+(G141*Periode!BE141/40)</f>
        <v>746.26260000000002</v>
      </c>
      <c r="L141" s="132"/>
      <c r="M141" s="136"/>
      <c r="N141" s="136"/>
      <c r="O141" s="42"/>
      <c r="P141" s="73">
        <v>13.16</v>
      </c>
      <c r="Q141" s="43">
        <f>K141+O141+P141</f>
        <v>759.42259999999999</v>
      </c>
      <c r="R141" s="722" t="s">
        <v>524</v>
      </c>
      <c r="S141" s="241" t="s">
        <v>424</v>
      </c>
      <c r="U141" s="343"/>
    </row>
    <row r="142" spans="2:26" s="87" customFormat="1" ht="15" customHeight="1">
      <c r="B142" s="172">
        <f>Periode!B142</f>
        <v>0</v>
      </c>
      <c r="C142" s="172">
        <f>Periode!H142</f>
        <v>0</v>
      </c>
      <c r="D142" s="61"/>
      <c r="E142" s="60"/>
      <c r="F142" s="60"/>
      <c r="G142" s="60"/>
      <c r="H142" s="60"/>
      <c r="I142" s="60"/>
      <c r="J142" s="60"/>
      <c r="K142" s="106"/>
      <c r="L142" s="132"/>
      <c r="M142" s="61"/>
      <c r="N142" s="61"/>
      <c r="O142" s="42"/>
      <c r="P142" s="73"/>
      <c r="Q142" s="389"/>
      <c r="R142" s="1210"/>
      <c r="S142" s="407"/>
      <c r="U142" s="409"/>
    </row>
    <row r="143" spans="2:26" s="91" customFormat="1" ht="15" customHeight="1">
      <c r="B143" s="5" t="str">
        <f>Periode!B143</f>
        <v>Remco Groenendaal</v>
      </c>
      <c r="C143" s="5" t="str">
        <f>Periode!G143</f>
        <v>32 (4wk)</v>
      </c>
      <c r="D143" s="61">
        <v>5</v>
      </c>
      <c r="E143" s="60">
        <v>34.5</v>
      </c>
      <c r="F143" s="60">
        <v>1</v>
      </c>
      <c r="G143" s="60"/>
      <c r="H143" s="60"/>
      <c r="I143" s="60">
        <v>4.5</v>
      </c>
      <c r="J143" s="60"/>
      <c r="K143" s="106">
        <f>(Periode!BB143*E143/40)+((F143+H143+I143)*Periode!BD143/40)+(J143*Periode!BF143/40)+(G143*Periode!BE143/40)</f>
        <v>718.83560999999997</v>
      </c>
      <c r="L143" s="132">
        <v>30</v>
      </c>
      <c r="M143" s="136"/>
      <c r="N143" s="136">
        <f>(L143*D143*2)+M143</f>
        <v>300</v>
      </c>
      <c r="O143" s="42">
        <f>((L143*2*D143)+M143)*0.28</f>
        <v>84.000000000000014</v>
      </c>
      <c r="P143" s="73"/>
      <c r="Q143" s="43">
        <f>K143+O143+P143</f>
        <v>802.83560999999997</v>
      </c>
      <c r="R143" s="722" t="s">
        <v>525</v>
      </c>
      <c r="S143" s="241" t="s">
        <v>408</v>
      </c>
      <c r="U143" s="343"/>
    </row>
    <row r="144" spans="2:26" s="87" customFormat="1" ht="15" customHeight="1">
      <c r="B144" s="172">
        <f>Periode!B144</f>
        <v>0</v>
      </c>
      <c r="C144" s="172">
        <f>Periode!H144</f>
        <v>0</v>
      </c>
      <c r="D144" s="61"/>
      <c r="E144" s="60"/>
      <c r="F144" s="60"/>
      <c r="G144" s="60"/>
      <c r="H144" s="60"/>
      <c r="I144" s="60"/>
      <c r="J144" s="60"/>
      <c r="K144" s="106"/>
      <c r="L144" s="132"/>
      <c r="M144" s="61"/>
      <c r="N144" s="61"/>
      <c r="O144" s="42"/>
      <c r="P144" s="73"/>
      <c r="Q144" s="389"/>
      <c r="R144" s="1177" t="s">
        <v>526</v>
      </c>
      <c r="S144" s="407"/>
      <c r="U144" s="409"/>
    </row>
    <row r="145" spans="1:26" s="87" customFormat="1" ht="15" customHeight="1">
      <c r="B145" s="172">
        <f>Periode!B145</f>
        <v>0</v>
      </c>
      <c r="C145" s="172">
        <f>Periode!H145</f>
        <v>0</v>
      </c>
      <c r="D145" s="61"/>
      <c r="E145" s="60"/>
      <c r="F145" s="60"/>
      <c r="G145" s="60"/>
      <c r="H145" s="60"/>
      <c r="I145" s="60"/>
      <c r="J145" s="60"/>
      <c r="K145" s="106"/>
      <c r="L145" s="132"/>
      <c r="M145" s="61"/>
      <c r="N145" s="61"/>
      <c r="O145" s="42"/>
      <c r="P145" s="73"/>
      <c r="Q145" s="389"/>
      <c r="R145" s="722"/>
      <c r="S145" s="407"/>
      <c r="U145" s="409"/>
    </row>
    <row r="146" spans="1:26" s="87" customFormat="1" ht="15" customHeight="1">
      <c r="B146" s="172">
        <f>Periode!B146</f>
        <v>0</v>
      </c>
      <c r="C146" s="172">
        <f>Periode!H146</f>
        <v>0</v>
      </c>
      <c r="D146" s="61"/>
      <c r="E146" s="60"/>
      <c r="F146" s="60"/>
      <c r="G146" s="60"/>
      <c r="H146" s="60"/>
      <c r="I146" s="60"/>
      <c r="J146" s="60"/>
      <c r="K146" s="106"/>
      <c r="L146" s="132"/>
      <c r="M146" s="61"/>
      <c r="N146" s="61"/>
      <c r="O146" s="42"/>
      <c r="P146" s="73"/>
      <c r="Q146" s="389"/>
      <c r="R146" s="1177"/>
      <c r="S146" s="407"/>
      <c r="U146" s="409"/>
    </row>
    <row r="147" spans="1:26" s="91" customFormat="1" ht="15" customHeight="1">
      <c r="B147" s="5" t="str">
        <f>Periode!B147</f>
        <v>Fred Termonen</v>
      </c>
      <c r="C147" s="5" t="str">
        <f>Periode!G147</f>
        <v>32 (4wk)</v>
      </c>
      <c r="D147" s="61">
        <v>3</v>
      </c>
      <c r="E147" s="60">
        <v>24</v>
      </c>
      <c r="F147" s="60"/>
      <c r="G147" s="60"/>
      <c r="H147" s="60"/>
      <c r="I147" s="60"/>
      <c r="J147" s="60"/>
      <c r="K147" s="106">
        <f>(Periode!BB147*E147/40)+((F147+H147+I147)*Periode!BD147/40)+(J147*Periode!BF147/40)+(G147*Periode!BE147/40)</f>
        <v>456.67200000000003</v>
      </c>
      <c r="L147" s="136"/>
      <c r="M147" s="136"/>
      <c r="N147" s="136"/>
      <c r="O147" s="42"/>
      <c r="P147" s="73"/>
      <c r="Q147" s="43">
        <f>K147+O147+P147</f>
        <v>456.67200000000003</v>
      </c>
      <c r="R147" s="722" t="s">
        <v>465</v>
      </c>
      <c r="S147" s="241" t="s">
        <v>201</v>
      </c>
      <c r="U147" s="343"/>
    </row>
    <row r="148" spans="1:26" s="87" customFormat="1" ht="15" customHeight="1">
      <c r="B148" s="172">
        <f>Periode!B148</f>
        <v>0</v>
      </c>
      <c r="C148" s="172">
        <f>Periode!H148</f>
        <v>0</v>
      </c>
      <c r="D148" s="61"/>
      <c r="E148" s="60"/>
      <c r="F148" s="60"/>
      <c r="G148" s="60"/>
      <c r="H148" s="60"/>
      <c r="I148" s="60"/>
      <c r="J148" s="60"/>
      <c r="K148" s="106"/>
      <c r="L148" s="132"/>
      <c r="M148" s="61"/>
      <c r="N148" s="61"/>
      <c r="O148" s="659"/>
      <c r="P148" s="73"/>
      <c r="Q148" s="389"/>
      <c r="R148" s="722"/>
      <c r="S148" s="407"/>
      <c r="T148" s="1"/>
      <c r="U148" s="411"/>
      <c r="V148" s="1"/>
      <c r="W148" s="1"/>
      <c r="X148" s="1"/>
      <c r="Y148" s="1"/>
      <c r="Z148" s="1"/>
    </row>
    <row r="149" spans="1:26" s="719" customFormat="1" ht="15" customHeight="1">
      <c r="A149" s="91"/>
      <c r="B149" s="5" t="str">
        <f>Periode!B149</f>
        <v>Arnold Verstraten</v>
      </c>
      <c r="C149" s="5" t="str">
        <f>Periode!G149</f>
        <v>32 (4wk)</v>
      </c>
      <c r="D149" s="61">
        <v>5</v>
      </c>
      <c r="E149" s="60">
        <v>40</v>
      </c>
      <c r="F149" s="60"/>
      <c r="G149" s="60"/>
      <c r="H149" s="60"/>
      <c r="I149" s="60"/>
      <c r="J149" s="60"/>
      <c r="K149" s="106">
        <f>(Periode!BB149*E149/40)+((F149+H149+I149)*Periode!BD149/40)+(J149*Periode!BF149/40)+(G149*Periode!BE149/40)</f>
        <v>700.42000000000007</v>
      </c>
      <c r="L149" s="132">
        <v>27</v>
      </c>
      <c r="M149" s="136"/>
      <c r="N149" s="136">
        <f>(L149*D149*2)+M149</f>
        <v>270</v>
      </c>
      <c r="O149" s="42">
        <f>((L149*2*D149)+M149)*0.28</f>
        <v>75.600000000000009</v>
      </c>
      <c r="P149" s="73"/>
      <c r="Q149" s="43">
        <f>K149+O149+P149</f>
        <v>776.0200000000001</v>
      </c>
      <c r="R149" s="722"/>
      <c r="S149" s="241" t="s">
        <v>252</v>
      </c>
      <c r="U149" s="720"/>
    </row>
    <row r="150" spans="1:26">
      <c r="Q150" s="1198"/>
      <c r="R150" s="722"/>
      <c r="S150" s="407"/>
    </row>
    <row r="151" spans="1:26">
      <c r="O151" s="808"/>
      <c r="R151" s="806"/>
      <c r="S151" s="407"/>
    </row>
    <row r="152" spans="1:26" s="87" customFormat="1" ht="15" customHeight="1">
      <c r="B152" s="88"/>
      <c r="C152" s="88"/>
      <c r="D152" s="112"/>
      <c r="E152" s="874"/>
      <c r="F152" s="874"/>
      <c r="G152" s="874"/>
      <c r="H152" s="874"/>
      <c r="I152" s="874"/>
      <c r="J152" s="874"/>
      <c r="K152" s="89"/>
      <c r="L152" s="112"/>
      <c r="M152" s="112"/>
      <c r="N152" s="112"/>
      <c r="O152" s="90"/>
      <c r="P152" s="90"/>
      <c r="Q152" s="90"/>
      <c r="R152" s="879"/>
      <c r="S152" s="875"/>
      <c r="U152" s="409"/>
    </row>
    <row r="153" spans="1:26">
      <c r="R153" s="805"/>
    </row>
    <row r="154" spans="1:26">
      <c r="R154" s="805"/>
    </row>
    <row r="155" spans="1:26" s="719" customFormat="1" ht="15" customHeight="1">
      <c r="A155" s="91"/>
      <c r="B155" s="242">
        <f>Periode!B155</f>
        <v>0</v>
      </c>
      <c r="C155" s="242">
        <f>Periode!G155</f>
        <v>0</v>
      </c>
      <c r="D155" s="61"/>
      <c r="E155" s="60"/>
      <c r="F155" s="60"/>
      <c r="G155" s="60"/>
      <c r="H155" s="60"/>
      <c r="I155" s="60"/>
      <c r="J155" s="60"/>
      <c r="K155" s="244">
        <f>(Periode!BB155*E155/40)+((F155+H155+I155)*Periode!BD155/40)+(J155*Periode!BF155/40)+(G155*Periode!BE155/40)</f>
        <v>0</v>
      </c>
      <c r="L155" s="243">
        <v>80</v>
      </c>
      <c r="M155" s="243"/>
      <c r="N155" s="243">
        <f>(L155*D155*2)+M155</f>
        <v>0</v>
      </c>
      <c r="O155" s="245">
        <f>((L155*2*D155)+M155)*0.28</f>
        <v>0</v>
      </c>
      <c r="P155" s="245"/>
      <c r="Q155" s="245">
        <f>K155+O155+P155</f>
        <v>0</v>
      </c>
      <c r="R155" s="271"/>
      <c r="S155" s="241"/>
      <c r="U155" s="720"/>
    </row>
    <row r="156" spans="1:26" s="719" customFormat="1" ht="15" customHeight="1">
      <c r="A156" s="91"/>
      <c r="B156" s="5"/>
      <c r="C156" s="5"/>
      <c r="D156" s="61"/>
      <c r="E156" s="60"/>
      <c r="F156" s="60"/>
      <c r="G156" s="60"/>
      <c r="H156" s="60"/>
      <c r="I156" s="60"/>
      <c r="J156" s="60"/>
      <c r="K156" s="106"/>
      <c r="L156" s="132"/>
      <c r="M156" s="136"/>
      <c r="N156" s="136"/>
      <c r="O156" s="42"/>
      <c r="P156" s="42"/>
      <c r="Q156" s="42"/>
      <c r="R156" s="271"/>
      <c r="S156" s="241"/>
      <c r="U156" s="720"/>
    </row>
    <row r="157" spans="1:26">
      <c r="R157" s="347"/>
    </row>
    <row r="158" spans="1:26">
      <c r="O158" s="65"/>
      <c r="R158" s="806"/>
    </row>
    <row r="159" spans="1:26">
      <c r="O159" s="65"/>
      <c r="R159" s="806"/>
    </row>
    <row r="160" spans="1:26">
      <c r="R160" s="806"/>
    </row>
    <row r="161" spans="18:18">
      <c r="R161" s="806"/>
    </row>
  </sheetData>
  <pageMargins left="0.70866141732283472" right="0.70866141732283472" top="0.74803149606299213" bottom="0.74803149606299213" header="0.31496062992125984" footer="0.31496062992125984"/>
  <pageSetup scale="50" fitToHeight="0" orientation="landscape"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2DA87-0F0D-4854-9C21-4C30AAD9072B}">
  <sheetPr>
    <tabColor theme="0"/>
  </sheetPr>
  <dimension ref="A1:DW159"/>
  <sheetViews>
    <sheetView zoomScaleNormal="100" workbookViewId="0">
      <pane ySplit="7" topLeftCell="A86" activePane="bottomLeft" state="frozen"/>
      <selection pane="bottomLeft" activeCell="B90" sqref="B90"/>
    </sheetView>
  </sheetViews>
  <sheetFormatPr defaultColWidth="9.140625" defaultRowHeight="15"/>
  <cols>
    <col min="1" max="1" width="1.5703125" style="1" customWidth="1"/>
    <col min="2" max="2" width="31" style="72" customWidth="1"/>
    <col min="3" max="3" width="8.85546875" style="72" bestFit="1" customWidth="1"/>
    <col min="4" max="4" width="6" style="64" customWidth="1"/>
    <col min="5" max="10" width="6" style="62" customWidth="1"/>
    <col min="11" max="11" width="10.140625" style="63" bestFit="1" customWidth="1"/>
    <col min="12" max="12" width="9.5703125" style="133" customWidth="1"/>
    <col min="13" max="14" width="9.5703125" style="64" customWidth="1"/>
    <col min="15" max="15" width="11.5703125" style="659" customWidth="1"/>
    <col min="16" max="16" width="12.5703125" style="95" bestFit="1" customWidth="1"/>
    <col min="17" max="17" width="19.28515625" style="65" customWidth="1"/>
    <col min="18" max="18" width="56.7109375" style="273" customWidth="1"/>
    <col min="19" max="19" width="9.140625" style="387"/>
    <col min="20" max="20" width="9.140625" style="1" customWidth="1"/>
    <col min="21" max="21" width="9.140625" style="411"/>
    <col min="22" max="16384" width="9.140625" style="1"/>
  </cols>
  <sheetData>
    <row r="1" spans="2:127">
      <c r="B1" s="70"/>
      <c r="C1" s="70"/>
      <c r="D1" s="66"/>
      <c r="E1" s="67"/>
      <c r="F1" s="67"/>
      <c r="G1" s="67"/>
      <c r="H1" s="67"/>
      <c r="I1" s="67"/>
      <c r="J1" s="67"/>
      <c r="K1" s="68"/>
      <c r="L1" s="128"/>
      <c r="M1" s="66"/>
      <c r="N1" s="66"/>
      <c r="O1" s="543"/>
      <c r="P1" s="94"/>
      <c r="Q1" s="69"/>
      <c r="R1" s="272"/>
      <c r="S1" s="407"/>
    </row>
    <row r="2" spans="2:127">
      <c r="B2" s="109" t="s">
        <v>59</v>
      </c>
      <c r="C2" s="110"/>
      <c r="D2" s="111"/>
      <c r="E2" s="67"/>
      <c r="F2" s="67"/>
      <c r="G2" s="67"/>
      <c r="H2" s="67"/>
      <c r="I2" s="67"/>
      <c r="J2" s="67"/>
      <c r="K2" s="68"/>
      <c r="L2" s="128"/>
      <c r="M2" s="66"/>
      <c r="N2" s="66"/>
      <c r="O2" s="543"/>
      <c r="P2" s="94"/>
      <c r="Q2" s="69"/>
      <c r="R2" s="272"/>
      <c r="S2" s="407"/>
    </row>
    <row r="3" spans="2:127">
      <c r="B3" s="70" t="s">
        <v>83</v>
      </c>
      <c r="C3" s="70"/>
      <c r="D3" s="66"/>
      <c r="E3" s="67"/>
      <c r="F3" s="67"/>
      <c r="G3" s="67"/>
      <c r="H3" s="67"/>
      <c r="I3" s="67"/>
      <c r="J3" s="67"/>
      <c r="K3" s="68"/>
      <c r="L3" s="128"/>
      <c r="M3" s="66"/>
      <c r="N3" s="66"/>
      <c r="O3" s="543"/>
      <c r="P3" s="94"/>
      <c r="Q3" s="69"/>
      <c r="R3" s="272"/>
      <c r="S3" s="407"/>
    </row>
    <row r="4" spans="2:127">
      <c r="B4" s="70"/>
      <c r="C4" s="435"/>
      <c r="D4" s="66"/>
      <c r="E4" s="67"/>
      <c r="F4" s="365"/>
      <c r="G4" s="819"/>
      <c r="H4" s="67"/>
      <c r="I4" s="67"/>
      <c r="J4" s="67"/>
      <c r="K4" s="68"/>
      <c r="L4" s="128"/>
      <c r="M4" s="66"/>
      <c r="N4" s="66"/>
      <c r="O4" s="543"/>
      <c r="P4" s="34" t="s">
        <v>65</v>
      </c>
      <c r="Q4" s="69"/>
      <c r="R4" s="272"/>
      <c r="S4" s="407"/>
    </row>
    <row r="5" spans="2:127">
      <c r="B5" s="74"/>
      <c r="C5" s="74"/>
      <c r="D5" s="32" t="s">
        <v>5</v>
      </c>
      <c r="E5" s="49" t="s">
        <v>41</v>
      </c>
      <c r="F5" s="55" t="s">
        <v>38</v>
      </c>
      <c r="G5" s="55" t="s">
        <v>217</v>
      </c>
      <c r="H5" s="55" t="s">
        <v>37</v>
      </c>
      <c r="I5" s="55" t="s">
        <v>381</v>
      </c>
      <c r="J5" s="55" t="s">
        <v>35</v>
      </c>
      <c r="K5" s="50"/>
      <c r="L5" s="130" t="s">
        <v>51</v>
      </c>
      <c r="M5" s="52" t="s">
        <v>9</v>
      </c>
      <c r="O5" s="6" t="s">
        <v>8</v>
      </c>
      <c r="P5" s="53" t="s">
        <v>46</v>
      </c>
      <c r="Q5" s="6" t="s">
        <v>9</v>
      </c>
      <c r="R5" s="272"/>
      <c r="S5" s="407"/>
    </row>
    <row r="6" spans="2:127">
      <c r="B6" s="75"/>
      <c r="C6" s="75" t="s">
        <v>84</v>
      </c>
      <c r="D6" s="92" t="s">
        <v>39</v>
      </c>
      <c r="E6" s="93" t="s">
        <v>39</v>
      </c>
      <c r="F6" s="93" t="s">
        <v>42</v>
      </c>
      <c r="G6" s="93" t="s">
        <v>42</v>
      </c>
      <c r="H6" s="93" t="s">
        <v>42</v>
      </c>
      <c r="I6" s="93" t="s">
        <v>44</v>
      </c>
      <c r="J6" s="93" t="s">
        <v>44</v>
      </c>
      <c r="K6" s="51" t="s">
        <v>4</v>
      </c>
      <c r="L6" s="130" t="s">
        <v>48</v>
      </c>
      <c r="M6" s="52" t="s">
        <v>50</v>
      </c>
      <c r="N6" s="52" t="s">
        <v>9</v>
      </c>
      <c r="O6" s="6" t="s">
        <v>3</v>
      </c>
      <c r="P6" s="53" t="s">
        <v>47</v>
      </c>
      <c r="Q6" s="6" t="s">
        <v>4</v>
      </c>
      <c r="R6" s="315"/>
      <c r="S6" s="407"/>
    </row>
    <row r="7" spans="2:127" s="2" customFormat="1">
      <c r="B7" s="386" t="s">
        <v>52</v>
      </c>
      <c r="C7" s="54" t="s">
        <v>41</v>
      </c>
      <c r="D7" s="58" t="s">
        <v>40</v>
      </c>
      <c r="E7" s="55" t="s">
        <v>40</v>
      </c>
      <c r="F7" s="55" t="s">
        <v>43</v>
      </c>
      <c r="G7" s="55" t="s">
        <v>43</v>
      </c>
      <c r="H7" s="55" t="s">
        <v>43</v>
      </c>
      <c r="I7" s="55" t="s">
        <v>45</v>
      </c>
      <c r="J7" s="55" t="s">
        <v>45</v>
      </c>
      <c r="K7" s="56" t="s">
        <v>6</v>
      </c>
      <c r="L7" s="131" t="s">
        <v>49</v>
      </c>
      <c r="M7" s="58" t="s">
        <v>49</v>
      </c>
      <c r="N7" s="58" t="s">
        <v>63</v>
      </c>
      <c r="O7" s="57" t="s">
        <v>6</v>
      </c>
      <c r="P7" s="59" t="s">
        <v>7</v>
      </c>
      <c r="Q7" s="57" t="s">
        <v>1</v>
      </c>
      <c r="R7" s="562"/>
      <c r="S7" s="408" t="s">
        <v>80</v>
      </c>
      <c r="T7" s="1"/>
      <c r="U7" s="41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row>
    <row r="8" spans="2:127" s="91" customFormat="1" ht="15" customHeight="1">
      <c r="B8" s="5" t="str">
        <f>Periode!B8</f>
        <v>Ruben Hellemons</v>
      </c>
      <c r="C8" s="5" t="str">
        <f>Periode!G8</f>
        <v>124 (4wk)</v>
      </c>
      <c r="D8" s="61">
        <v>5</v>
      </c>
      <c r="E8" s="60">
        <v>40</v>
      </c>
      <c r="F8" s="60"/>
      <c r="G8" s="60"/>
      <c r="H8" s="60"/>
      <c r="I8" s="60"/>
      <c r="J8" s="60"/>
      <c r="K8" s="106">
        <f>(Periode!BB8*E8/40)+((F8+H8+I8)*Periode!BD8/40)+(J8*Periode!BF8/40)+(G8*Periode!BE8/40)</f>
        <v>721.11999999999989</v>
      </c>
      <c r="L8" s="132"/>
      <c r="M8" s="61"/>
      <c r="N8" s="136"/>
      <c r="O8" s="42"/>
      <c r="P8" s="73"/>
      <c r="Q8" s="43">
        <f>K8+O8+P8</f>
        <v>721.11999999999989</v>
      </c>
      <c r="R8" s="271"/>
      <c r="S8" s="241" t="s">
        <v>216</v>
      </c>
      <c r="U8" s="407"/>
    </row>
    <row r="9" spans="2:127" s="91" customFormat="1">
      <c r="B9" s="5"/>
      <c r="C9" s="5"/>
      <c r="D9" s="61"/>
      <c r="E9" s="60"/>
      <c r="F9" s="60"/>
      <c r="G9" s="49"/>
      <c r="H9" s="49"/>
      <c r="I9" s="49"/>
      <c r="J9" s="60"/>
      <c r="K9" s="106"/>
      <c r="L9" s="136"/>
      <c r="M9" s="136"/>
      <c r="N9" s="319"/>
      <c r="O9" s="42"/>
      <c r="P9" s="73"/>
      <c r="Q9" s="389"/>
      <c r="R9" s="1151"/>
      <c r="S9" s="241"/>
      <c r="U9" s="241"/>
    </row>
    <row r="10" spans="2:127" s="246" customFormat="1">
      <c r="B10" s="591"/>
      <c r="C10" s="591"/>
      <c r="D10" s="52"/>
      <c r="E10" s="49"/>
      <c r="F10" s="49"/>
      <c r="G10" s="49"/>
      <c r="H10" s="49"/>
      <c r="I10" s="49"/>
      <c r="J10" s="49"/>
      <c r="K10" s="592"/>
      <c r="L10" s="242"/>
      <c r="M10" s="242"/>
      <c r="O10" s="206"/>
      <c r="P10" s="614"/>
      <c r="Q10" s="43"/>
      <c r="R10" s="609"/>
      <c r="S10" s="593"/>
      <c r="U10" s="241"/>
    </row>
    <row r="11" spans="2:127" s="246" customFormat="1" ht="15" customHeight="1">
      <c r="B11" s="242"/>
      <c r="C11" s="242"/>
      <c r="D11" s="61"/>
      <c r="E11" s="60"/>
      <c r="F11" s="60"/>
      <c r="G11" s="60"/>
      <c r="H11" s="60"/>
      <c r="I11" s="60"/>
      <c r="J11" s="60"/>
      <c r="K11" s="244"/>
      <c r="L11" s="243"/>
      <c r="M11" s="243"/>
      <c r="N11" s="610"/>
      <c r="O11" s="43"/>
      <c r="P11" s="612"/>
      <c r="Q11" s="43"/>
      <c r="R11" s="873"/>
      <c r="S11" s="277"/>
      <c r="U11" s="241"/>
    </row>
    <row r="12" spans="2:127" s="91" customFormat="1" ht="15" customHeight="1">
      <c r="B12" s="5" t="str">
        <f>Periode!B12</f>
        <v>Andre Sintenie</v>
      </c>
      <c r="C12" s="5" t="str">
        <f>Periode!G12</f>
        <v>32 (4wk)</v>
      </c>
      <c r="D12" s="61">
        <v>4</v>
      </c>
      <c r="E12" s="60">
        <v>32</v>
      </c>
      <c r="F12" s="60"/>
      <c r="G12" s="60"/>
      <c r="H12" s="60"/>
      <c r="I12" s="60"/>
      <c r="J12" s="60"/>
      <c r="K12" s="106">
        <f>(Periode!BB12*E12/40)+((F12+H12+I12)*Periode!BD12/40)+(J12*Periode!BF12/40)+(G12*Periode!BE12/40)</f>
        <v>524.12800000000004</v>
      </c>
      <c r="L12" s="132"/>
      <c r="M12" s="61"/>
      <c r="N12" s="136"/>
      <c r="O12" s="42"/>
      <c r="P12" s="73"/>
      <c r="Q12" s="43">
        <f>K12+O12+P12</f>
        <v>524.12800000000004</v>
      </c>
      <c r="R12" s="388" t="s">
        <v>461</v>
      </c>
      <c r="S12" s="241" t="s">
        <v>164</v>
      </c>
      <c r="U12" s="407"/>
    </row>
    <row r="13" spans="2:127" s="87" customFormat="1" ht="15" customHeight="1">
      <c r="B13" s="172">
        <f>Periode!B13</f>
        <v>0</v>
      </c>
      <c r="C13" s="172">
        <f>Periode!H13</f>
        <v>0</v>
      </c>
      <c r="D13" s="61"/>
      <c r="E13" s="60"/>
      <c r="F13" s="60"/>
      <c r="G13" s="60"/>
      <c r="H13" s="60"/>
      <c r="I13" s="60"/>
      <c r="J13" s="60"/>
      <c r="K13" s="260">
        <f>(Periode!BB13*E13/40)+((F13+G13+H13+I13)*Periode!BD13/40)+(J13*Periode!BF13/40)</f>
        <v>0</v>
      </c>
      <c r="L13" s="132"/>
      <c r="M13" s="61"/>
      <c r="N13" s="611"/>
      <c r="O13" s="42"/>
      <c r="P13" s="73"/>
      <c r="Q13" s="261">
        <f t="shared" ref="Q13" si="0">K13+O13+P13</f>
        <v>0</v>
      </c>
      <c r="R13" s="270"/>
      <c r="S13" s="409"/>
      <c r="U13" s="407"/>
    </row>
    <row r="14" spans="2:127" s="91" customFormat="1" ht="15" customHeight="1">
      <c r="B14" s="5"/>
      <c r="C14" s="5"/>
      <c r="D14" s="61"/>
      <c r="E14" s="60"/>
      <c r="F14" s="60"/>
      <c r="G14" s="60"/>
      <c r="H14" s="60"/>
      <c r="I14" s="60"/>
      <c r="J14" s="60"/>
      <c r="K14" s="106"/>
      <c r="L14" s="132"/>
      <c r="M14" s="61"/>
      <c r="N14" s="136"/>
      <c r="O14" s="42"/>
      <c r="P14" s="705" t="s">
        <v>543</v>
      </c>
      <c r="Q14" s="705">
        <v>121.76</v>
      </c>
      <c r="R14" s="1183" t="s">
        <v>254</v>
      </c>
      <c r="S14" s="241"/>
      <c r="U14" s="407"/>
    </row>
    <row r="15" spans="2:127" s="91" customFormat="1" ht="15" customHeight="1">
      <c r="B15" s="5" t="str">
        <f>Periode!B15</f>
        <v xml:space="preserve">Dennis Aarts </v>
      </c>
      <c r="C15" s="5" t="str">
        <f>Periode!G15</f>
        <v>0</v>
      </c>
      <c r="D15" s="61">
        <v>4</v>
      </c>
      <c r="E15" s="60">
        <v>32</v>
      </c>
      <c r="F15" s="60"/>
      <c r="G15" s="60"/>
      <c r="H15" s="60"/>
      <c r="I15" s="60"/>
      <c r="J15" s="60"/>
      <c r="K15" s="106">
        <f>(Periode!BB15*E15/40)+((F15+H15+I15)*Periode!BD15/40)+(J15*Periode!BF15/40)+(G15*Periode!BE15/40)</f>
        <v>562.92800000000011</v>
      </c>
      <c r="L15" s="132"/>
      <c r="M15" s="61"/>
      <c r="N15" s="136"/>
      <c r="O15" s="42"/>
      <c r="P15" s="73"/>
      <c r="Q15" s="43">
        <f>(K15+O15+P15)+'WK23'!Q15+'WK22'!Q15+'WK21'!Q15</f>
        <v>1248.3644000000002</v>
      </c>
      <c r="R15" s="608" t="s">
        <v>462</v>
      </c>
      <c r="S15" s="241" t="s">
        <v>251</v>
      </c>
      <c r="U15" s="407"/>
    </row>
    <row r="16" spans="2:127" s="246" customFormat="1" ht="15" customHeight="1">
      <c r="B16" s="242"/>
      <c r="C16" s="242"/>
      <c r="D16" s="61"/>
      <c r="E16" s="60"/>
      <c r="F16" s="60"/>
      <c r="G16" s="60"/>
      <c r="H16" s="60"/>
      <c r="I16" s="60"/>
      <c r="J16" s="60"/>
      <c r="K16" s="244"/>
      <c r="L16" s="132"/>
      <c r="M16" s="61"/>
      <c r="N16" s="243"/>
      <c r="O16" s="42"/>
      <c r="P16" s="474"/>
      <c r="Q16" s="395"/>
      <c r="R16" s="1221" t="s">
        <v>253</v>
      </c>
      <c r="S16" s="277"/>
      <c r="U16" s="407"/>
    </row>
    <row r="17" spans="2:30" s="91" customFormat="1" ht="15" customHeight="1">
      <c r="B17" s="5" t="str">
        <f>Periode!B17</f>
        <v>Kay Sanders</v>
      </c>
      <c r="C17" s="5" t="str">
        <f>Periode!G17</f>
        <v>0</v>
      </c>
      <c r="D17" s="61"/>
      <c r="E17" s="60"/>
      <c r="F17" s="60"/>
      <c r="G17" s="60"/>
      <c r="H17" s="60"/>
      <c r="I17" s="60"/>
      <c r="J17" s="60"/>
      <c r="K17" s="106">
        <f>(Periode!BB17*E17/40)+((I17)*Periode!BD17/40)+(J17*Periode!BF17/40)+(G17*Periode!BE17/40)</f>
        <v>0</v>
      </c>
      <c r="L17" s="132">
        <v>69</v>
      </c>
      <c r="M17" s="61"/>
      <c r="N17" s="136">
        <f>(L17*D17*2)+M17</f>
        <v>0</v>
      </c>
      <c r="O17" s="42"/>
      <c r="P17" s="73">
        <v>296.04000000000002</v>
      </c>
      <c r="Q17" s="43">
        <f>K17+O17+P17</f>
        <v>296.04000000000002</v>
      </c>
      <c r="R17" s="722" t="s">
        <v>250</v>
      </c>
      <c r="S17" s="241" t="s">
        <v>229</v>
      </c>
      <c r="U17" s="407"/>
    </row>
    <row r="18" spans="2:30" s="91" customFormat="1" ht="15" customHeight="1">
      <c r="B18" s="5"/>
      <c r="C18" s="5"/>
      <c r="D18" s="61"/>
      <c r="E18" s="60"/>
      <c r="F18" s="60"/>
      <c r="G18" s="60"/>
      <c r="H18" s="60"/>
      <c r="I18" s="60"/>
      <c r="J18" s="60"/>
      <c r="K18" s="106"/>
      <c r="L18" s="132"/>
      <c r="M18" s="61"/>
      <c r="N18" s="136"/>
      <c r="O18" s="42"/>
      <c r="P18" s="73"/>
      <c r="Q18" s="43"/>
      <c r="R18" s="1222" t="s">
        <v>448</v>
      </c>
      <c r="S18" s="241"/>
      <c r="U18" s="407"/>
    </row>
    <row r="19" spans="2:30" s="246" customFormat="1" ht="15" customHeight="1">
      <c r="B19" s="242"/>
      <c r="C19" s="242"/>
      <c r="D19" s="61"/>
      <c r="E19" s="60"/>
      <c r="F19" s="60"/>
      <c r="G19" s="60"/>
      <c r="H19" s="60"/>
      <c r="I19" s="60"/>
      <c r="J19" s="60"/>
      <c r="K19" s="244"/>
      <c r="L19" s="279"/>
      <c r="M19" s="61"/>
      <c r="N19" s="243"/>
      <c r="O19" s="42"/>
      <c r="P19" s="73"/>
      <c r="Q19" s="395"/>
      <c r="R19" s="271"/>
      <c r="S19" s="397"/>
      <c r="T19" s="342"/>
      <c r="U19" s="413"/>
      <c r="V19" s="262"/>
      <c r="W19" s="262"/>
      <c r="X19" s="262"/>
      <c r="Y19" s="262"/>
      <c r="Z19" s="262"/>
      <c r="AA19" s="262"/>
      <c r="AB19" s="262"/>
      <c r="AC19" s="262"/>
      <c r="AD19" s="262"/>
    </row>
    <row r="20" spans="2:30" s="91" customFormat="1" ht="15" customHeight="1">
      <c r="B20" s="5"/>
      <c r="C20" s="5"/>
      <c r="D20" s="61"/>
      <c r="E20" s="60"/>
      <c r="F20" s="60"/>
      <c r="G20" s="60"/>
      <c r="H20" s="60"/>
      <c r="I20" s="60"/>
      <c r="J20" s="60"/>
      <c r="K20" s="106"/>
      <c r="L20" s="615"/>
      <c r="M20" s="61"/>
      <c r="N20" s="136"/>
      <c r="O20" s="42"/>
      <c r="P20" s="73"/>
      <c r="Q20" s="42"/>
      <c r="R20" s="608"/>
      <c r="S20" s="241"/>
      <c r="U20" s="343"/>
      <c r="W20" s="314"/>
    </row>
    <row r="21" spans="2:30" s="91" customFormat="1" ht="15" customHeight="1">
      <c r="B21" s="5"/>
      <c r="C21" s="5"/>
      <c r="D21" s="61"/>
      <c r="E21" s="60"/>
      <c r="F21" s="60"/>
      <c r="G21" s="60"/>
      <c r="H21" s="60"/>
      <c r="I21" s="60"/>
      <c r="J21" s="60"/>
      <c r="K21" s="106"/>
      <c r="L21" s="132"/>
      <c r="M21" s="60"/>
      <c r="N21" s="442"/>
      <c r="O21" s="42"/>
      <c r="P21" s="73"/>
      <c r="Q21" s="42"/>
      <c r="R21" s="275"/>
      <c r="S21" s="241"/>
      <c r="U21" s="343"/>
      <c r="W21" s="314"/>
    </row>
    <row r="22" spans="2:30" s="246" customFormat="1" ht="15" customHeight="1">
      <c r="B22" s="242"/>
      <c r="C22" s="242"/>
      <c r="D22" s="61"/>
      <c r="E22" s="60"/>
      <c r="F22" s="60"/>
      <c r="G22" s="60"/>
      <c r="H22" s="60"/>
      <c r="I22" s="60"/>
      <c r="J22" s="60"/>
      <c r="K22" s="244"/>
      <c r="L22" s="243"/>
      <c r="M22" s="243"/>
      <c r="N22" s="243"/>
      <c r="O22" s="42"/>
      <c r="P22" s="245"/>
      <c r="Q22" s="245"/>
      <c r="R22" s="441"/>
      <c r="S22" s="277"/>
      <c r="U22" s="412"/>
      <c r="W22" s="311"/>
    </row>
    <row r="23" spans="2:30" s="91" customFormat="1" ht="15" customHeight="1">
      <c r="B23" s="5" t="str">
        <f>Periode!B23</f>
        <v>Frank Stouthart</v>
      </c>
      <c r="C23" s="5" t="str">
        <f>Periode!G23</f>
        <v>32 (4wk)</v>
      </c>
      <c r="D23" s="61">
        <v>5</v>
      </c>
      <c r="E23" s="60">
        <v>39</v>
      </c>
      <c r="F23" s="60"/>
      <c r="G23" s="60"/>
      <c r="H23" s="60"/>
      <c r="I23" s="60"/>
      <c r="J23" s="60"/>
      <c r="K23" s="106">
        <f>(Periode!BB23*E23/40)+((F23+H23+I23)*Periode!BD23/40)+(J23*Periode!BF23/40)+(G23*Periode!BE23/40)</f>
        <v>688.62300000000027</v>
      </c>
      <c r="L23" s="615">
        <v>34</v>
      </c>
      <c r="M23" s="61">
        <f>-340+(6*34)+(4*36)</f>
        <v>8</v>
      </c>
      <c r="N23" s="136">
        <f>(L23*D23*2)+M23</f>
        <v>348</v>
      </c>
      <c r="O23" s="42">
        <f>((L23*2*D23)+M23)*0.28</f>
        <v>97.440000000000012</v>
      </c>
      <c r="P23" s="73"/>
      <c r="Q23" s="42">
        <f t="shared" ref="Q23" si="1">K23+O23+P23</f>
        <v>786.06300000000033</v>
      </c>
      <c r="R23" s="271" t="s">
        <v>464</v>
      </c>
      <c r="S23" s="241" t="s">
        <v>537</v>
      </c>
      <c r="U23" s="343"/>
      <c r="W23" s="314"/>
    </row>
    <row r="24" spans="2:30" s="91" customFormat="1" ht="15" customHeight="1">
      <c r="B24" s="5"/>
      <c r="C24" s="5"/>
      <c r="D24" s="61"/>
      <c r="E24" s="60"/>
      <c r="F24" s="60"/>
      <c r="G24" s="60"/>
      <c r="H24" s="60"/>
      <c r="I24" s="60"/>
      <c r="J24" s="60"/>
      <c r="K24" s="106"/>
      <c r="L24" s="132"/>
      <c r="M24" s="61"/>
      <c r="N24" s="136"/>
      <c r="O24" s="42"/>
      <c r="P24" s="73"/>
      <c r="Q24" s="42"/>
      <c r="R24" s="807"/>
      <c r="S24" s="241"/>
      <c r="U24" s="343"/>
      <c r="W24" s="314"/>
    </row>
    <row r="25" spans="2:30" s="91" customFormat="1" ht="15" customHeight="1">
      <c r="B25" s="5"/>
      <c r="C25" s="5"/>
      <c r="D25" s="61"/>
      <c r="E25" s="60"/>
      <c r="F25" s="60"/>
      <c r="G25" s="60"/>
      <c r="H25" s="60"/>
      <c r="I25" s="60"/>
      <c r="J25" s="60"/>
      <c r="K25" s="106"/>
      <c r="L25" s="132"/>
      <c r="M25" s="61"/>
      <c r="N25" s="136"/>
      <c r="O25" s="834"/>
      <c r="P25" s="705"/>
      <c r="Q25" s="882"/>
      <c r="R25" s="275"/>
      <c r="S25" s="241"/>
      <c r="U25" s="343"/>
      <c r="W25" s="314"/>
    </row>
    <row r="26" spans="2:30" s="91" customFormat="1" ht="15" customHeight="1">
      <c r="B26" s="5" t="str">
        <f>Periode!B26</f>
        <v>Roy Rubeling</v>
      </c>
      <c r="C26" s="5" t="str">
        <f>Periode!G26</f>
        <v>0</v>
      </c>
      <c r="D26" s="61">
        <v>4</v>
      </c>
      <c r="E26" s="60">
        <v>32</v>
      </c>
      <c r="F26" s="60"/>
      <c r="G26" s="60"/>
      <c r="H26" s="60"/>
      <c r="I26" s="60"/>
      <c r="J26" s="60"/>
      <c r="K26" s="106">
        <f>(Periode!BB26*E26/40)+((F26+H26+I26)*Periode!BD26/40)+(J26*Periode!BF26/40)+(G26*Periode!BE26/40)</f>
        <v>600</v>
      </c>
      <c r="L26" s="615">
        <v>61</v>
      </c>
      <c r="M26" s="61">
        <v>80</v>
      </c>
      <c r="N26" s="136">
        <f>(L26*D26*2)+M26</f>
        <v>568</v>
      </c>
      <c r="O26" s="42">
        <f>((L26*2*D26)+M26)*0.28</f>
        <v>159.04000000000002</v>
      </c>
      <c r="P26" s="73">
        <v>283.62</v>
      </c>
      <c r="Q26" s="29">
        <f t="shared" ref="Q26" si="2">K26+O26+P26</f>
        <v>1042.6599999999999</v>
      </c>
      <c r="R26" s="608" t="s">
        <v>449</v>
      </c>
      <c r="S26" s="241" t="s">
        <v>390</v>
      </c>
      <c r="U26" s="343"/>
      <c r="W26" s="314"/>
    </row>
    <row r="27" spans="2:30" s="246" customFormat="1" ht="15" customHeight="1">
      <c r="B27" s="242"/>
      <c r="C27" s="242"/>
      <c r="D27" s="61"/>
      <c r="E27" s="60"/>
      <c r="F27" s="60"/>
      <c r="G27" s="60"/>
      <c r="H27" s="60"/>
      <c r="I27" s="60"/>
      <c r="J27" s="60"/>
      <c r="K27" s="244"/>
      <c r="L27" s="132"/>
      <c r="M27" s="61"/>
      <c r="N27" s="243"/>
      <c r="O27" s="835"/>
      <c r="P27" s="836"/>
      <c r="Q27" s="836"/>
      <c r="R27" s="275" t="s">
        <v>544</v>
      </c>
      <c r="S27" s="277"/>
      <c r="U27" s="412"/>
    </row>
    <row r="28" spans="2:30" s="246" customFormat="1" ht="15" customHeight="1">
      <c r="B28" s="242"/>
      <c r="C28" s="242"/>
      <c r="D28" s="61"/>
      <c r="E28" s="60"/>
      <c r="F28" s="60"/>
      <c r="G28" s="60"/>
      <c r="H28" s="60"/>
      <c r="I28" s="60"/>
      <c r="J28" s="60"/>
      <c r="K28" s="244"/>
      <c r="L28" s="132"/>
      <c r="M28" s="61"/>
      <c r="N28" s="243"/>
      <c r="O28" s="42"/>
      <c r="P28" s="839"/>
      <c r="Q28" s="705"/>
      <c r="R28" s="644"/>
      <c r="S28" s="277"/>
      <c r="U28" s="412"/>
    </row>
    <row r="29" spans="2:30" s="91" customFormat="1" ht="15" customHeight="1">
      <c r="B29" s="5"/>
      <c r="C29" s="5"/>
      <c r="D29" s="61"/>
      <c r="E29" s="60"/>
      <c r="F29" s="60"/>
      <c r="G29" s="60"/>
      <c r="H29" s="60"/>
      <c r="I29" s="60"/>
      <c r="J29" s="60"/>
      <c r="K29" s="106"/>
      <c r="L29" s="132"/>
      <c r="M29" s="136"/>
      <c r="N29" s="136"/>
      <c r="O29" s="42"/>
      <c r="P29" s="73"/>
      <c r="Q29" s="42"/>
      <c r="R29" s="271"/>
      <c r="S29" s="241"/>
      <c r="U29" s="343"/>
    </row>
    <row r="30" spans="2:30" s="91" customFormat="1" ht="15" customHeight="1">
      <c r="B30" s="5"/>
      <c r="C30" s="5"/>
      <c r="D30" s="61"/>
      <c r="E30" s="60"/>
      <c r="F30" s="60"/>
      <c r="G30" s="60"/>
      <c r="H30" s="60"/>
      <c r="I30" s="60"/>
      <c r="J30" s="60"/>
      <c r="K30" s="106"/>
      <c r="L30" s="132"/>
      <c r="M30" s="61"/>
      <c r="N30" s="136"/>
      <c r="O30" s="42"/>
      <c r="P30" s="73"/>
      <c r="Q30" s="42"/>
      <c r="R30" s="441"/>
      <c r="S30" s="241"/>
      <c r="U30" s="343"/>
    </row>
    <row r="31" spans="2:30" s="246" customFormat="1" ht="15" customHeight="1">
      <c r="B31" s="242"/>
      <c r="C31" s="242"/>
      <c r="D31" s="61"/>
      <c r="E31" s="60"/>
      <c r="F31" s="60"/>
      <c r="G31" s="60"/>
      <c r="H31" s="60"/>
      <c r="I31" s="60"/>
      <c r="J31" s="60"/>
      <c r="K31" s="244"/>
      <c r="L31" s="132"/>
      <c r="M31" s="61"/>
      <c r="N31" s="243"/>
      <c r="O31" s="42"/>
      <c r="P31" s="73"/>
      <c r="Q31" s="245"/>
      <c r="R31" s="347"/>
      <c r="S31" s="277"/>
      <c r="T31" s="246" t="s">
        <v>142</v>
      </c>
      <c r="U31" s="412"/>
    </row>
    <row r="32" spans="2:30" s="91" customFormat="1" ht="15" customHeight="1">
      <c r="B32" s="5"/>
      <c r="C32" s="5"/>
      <c r="D32" s="61"/>
      <c r="E32" s="60"/>
      <c r="F32" s="60"/>
      <c r="G32" s="60"/>
      <c r="H32" s="60"/>
      <c r="I32" s="60"/>
      <c r="J32" s="60"/>
      <c r="K32" s="106"/>
      <c r="L32" s="132"/>
      <c r="M32" s="136"/>
      <c r="N32" s="136"/>
      <c r="O32" s="42"/>
      <c r="P32" s="42"/>
      <c r="Q32" s="42"/>
      <c r="R32" s="347"/>
      <c r="S32" s="241"/>
      <c r="U32" s="343"/>
    </row>
    <row r="33" spans="1:23" s="91" customFormat="1" ht="15" customHeight="1">
      <c r="B33" s="5" t="str">
        <f>Periode!B33</f>
        <v>Marco Govers</v>
      </c>
      <c r="C33" s="5" t="str">
        <f>Periode!G33</f>
        <v>32 (4wk)</v>
      </c>
      <c r="D33" s="61">
        <v>5</v>
      </c>
      <c r="E33" s="60">
        <v>38.5</v>
      </c>
      <c r="F33" s="60"/>
      <c r="G33" s="60"/>
      <c r="H33" s="60"/>
      <c r="I33" s="60">
        <v>1.5</v>
      </c>
      <c r="J33" s="60"/>
      <c r="K33" s="106">
        <f>(Periode!BB33*E33/40)+((F33+H33+I33)*Periode!BD33/40)+(J33*Periode!BF33/40)+(G33*Periode!BE33/40)</f>
        <v>774.49978375000001</v>
      </c>
      <c r="L33" s="132">
        <v>39</v>
      </c>
      <c r="M33" s="136"/>
      <c r="N33" s="136">
        <f>(L33*D33*2)+M33</f>
        <v>390</v>
      </c>
      <c r="O33" s="42">
        <f>((L33*2*D33)+M33)*0.28</f>
        <v>109.20000000000002</v>
      </c>
      <c r="P33" s="42"/>
      <c r="Q33" s="42">
        <f t="shared" ref="Q33" si="3">K33+O33+P33</f>
        <v>883.69978375000005</v>
      </c>
      <c r="R33" s="271" t="s">
        <v>533</v>
      </c>
      <c r="S33" s="241" t="s">
        <v>436</v>
      </c>
      <c r="U33" s="343"/>
    </row>
    <row r="34" spans="1:23" s="246" customFormat="1" ht="15" customHeight="1">
      <c r="B34" s="242"/>
      <c r="C34" s="242"/>
      <c r="D34" s="61"/>
      <c r="E34" s="60"/>
      <c r="F34" s="60"/>
      <c r="G34" s="60"/>
      <c r="H34" s="60"/>
      <c r="I34" s="60"/>
      <c r="J34" s="60"/>
      <c r="K34" s="244"/>
      <c r="L34" s="132"/>
      <c r="M34" s="61"/>
      <c r="N34" s="243"/>
      <c r="O34" s="42"/>
      <c r="P34" s="1245" t="s">
        <v>543</v>
      </c>
      <c r="Q34" s="1245">
        <v>13.59</v>
      </c>
      <c r="R34" s="919"/>
      <c r="S34" s="277"/>
      <c r="U34" s="412"/>
    </row>
    <row r="35" spans="1:23" s="91" customFormat="1" ht="15" customHeight="1">
      <c r="B35" s="5" t="str">
        <f>Periode!B35</f>
        <v>Onno de Vries</v>
      </c>
      <c r="C35" s="5" t="str">
        <f>Periode!G35</f>
        <v>124 (4wk)</v>
      </c>
      <c r="D35" s="61">
        <v>5</v>
      </c>
      <c r="E35" s="60">
        <v>40</v>
      </c>
      <c r="F35" s="60"/>
      <c r="G35" s="60"/>
      <c r="H35" s="60"/>
      <c r="I35" s="60"/>
      <c r="J35" s="60"/>
      <c r="K35" s="106">
        <f>(Periode!BB35*E35/40)+((F35+H35+I35)*Periode!BD35/40)+(J35*Periode!BF35/40)+(G35*Periode!BE35/40)</f>
        <v>633.35500000000002</v>
      </c>
      <c r="L35" s="132">
        <v>10</v>
      </c>
      <c r="M35" s="61"/>
      <c r="N35" s="136">
        <f>(L35*D35*2)+M35</f>
        <v>100</v>
      </c>
      <c r="O35" s="42">
        <f>((L35*2*D35)+M35)*0.28</f>
        <v>28.000000000000004</v>
      </c>
      <c r="P35" s="1246"/>
      <c r="Q35" s="1247">
        <f>K35+O35+P35</f>
        <v>661.35500000000002</v>
      </c>
      <c r="R35" s="271"/>
      <c r="S35" s="241" t="s">
        <v>185</v>
      </c>
      <c r="U35" s="343"/>
    </row>
    <row r="36" spans="1:23" s="246" customFormat="1" ht="15" customHeight="1">
      <c r="B36" s="242"/>
      <c r="C36" s="242"/>
      <c r="D36" s="61"/>
      <c r="E36" s="60"/>
      <c r="F36" s="60"/>
      <c r="G36" s="60"/>
      <c r="H36" s="60"/>
      <c r="I36" s="60"/>
      <c r="J36" s="60"/>
      <c r="K36" s="244"/>
      <c r="L36" s="132"/>
      <c r="M36" s="61"/>
      <c r="N36" s="243"/>
      <c r="O36" s="42"/>
      <c r="P36" s="73"/>
      <c r="Q36" s="245"/>
      <c r="R36" s="644"/>
      <c r="S36" s="277"/>
      <c r="U36" s="412"/>
    </row>
    <row r="37" spans="1:23" s="246" customFormat="1" ht="15" customHeight="1">
      <c r="B37" s="242"/>
      <c r="C37" s="242"/>
      <c r="D37" s="61"/>
      <c r="E37" s="60"/>
      <c r="F37" s="60"/>
      <c r="G37" s="60"/>
      <c r="H37" s="60"/>
      <c r="I37" s="60"/>
      <c r="J37" s="60"/>
      <c r="K37" s="244"/>
      <c r="L37" s="132"/>
      <c r="M37" s="61"/>
      <c r="N37" s="243"/>
      <c r="O37" s="42"/>
      <c r="P37" s="73"/>
      <c r="Q37" s="245"/>
      <c r="R37" s="645"/>
      <c r="S37" s="277"/>
      <c r="U37" s="412"/>
    </row>
    <row r="38" spans="1:23" s="91" customFormat="1" ht="14.25" customHeight="1">
      <c r="B38" s="5"/>
      <c r="C38" s="5"/>
      <c r="D38" s="61"/>
      <c r="E38" s="60"/>
      <c r="F38" s="60"/>
      <c r="G38" s="60"/>
      <c r="H38" s="60"/>
      <c r="I38" s="60"/>
      <c r="J38" s="60"/>
      <c r="K38" s="106"/>
      <c r="L38" s="132"/>
      <c r="M38" s="61"/>
      <c r="N38" s="136"/>
      <c r="O38" s="42"/>
      <c r="P38" s="73"/>
      <c r="Q38" s="42"/>
      <c r="R38" s="388"/>
      <c r="S38" s="241"/>
      <c r="U38" s="343"/>
    </row>
    <row r="39" spans="1:23" s="91" customFormat="1" ht="15" customHeight="1">
      <c r="B39" s="5" t="str">
        <f>Periode!B39</f>
        <v>Jan Levering</v>
      </c>
      <c r="C39" s="5" t="str">
        <f>Periode!G39</f>
        <v>32 (4wk)</v>
      </c>
      <c r="D39" s="61"/>
      <c r="E39" s="60"/>
      <c r="F39" s="235"/>
      <c r="G39" s="60"/>
      <c r="H39" s="235"/>
      <c r="I39" s="235"/>
      <c r="J39" s="235"/>
      <c r="K39" s="106">
        <f>(Periode!BB39*E39/40)+((F39+H39+I39)*Periode!BD39/40)+(J39*Periode!BF39/40)+(G39*Periode!BE39/40)</f>
        <v>0</v>
      </c>
      <c r="L39" s="136"/>
      <c r="M39" s="136"/>
      <c r="N39" s="136"/>
      <c r="O39" s="42"/>
      <c r="P39" s="73">
        <v>143.37</v>
      </c>
      <c r="Q39" s="43">
        <f>K39+O39+P39</f>
        <v>143.37</v>
      </c>
      <c r="R39" s="563" t="s">
        <v>470</v>
      </c>
      <c r="S39" s="241" t="s">
        <v>186</v>
      </c>
      <c r="T39" s="674"/>
      <c r="U39" s="673"/>
    </row>
    <row r="40" spans="1:23" s="87" customFormat="1" ht="15" customHeight="1">
      <c r="A40" s="246"/>
      <c r="B40" s="172"/>
      <c r="C40" s="172"/>
      <c r="D40" s="61"/>
      <c r="E40" s="60"/>
      <c r="F40" s="60"/>
      <c r="G40" s="60"/>
      <c r="H40" s="60"/>
      <c r="I40" s="60"/>
      <c r="J40" s="60"/>
      <c r="K40" s="244"/>
      <c r="L40" s="132"/>
      <c r="M40" s="61"/>
      <c r="N40" s="243"/>
      <c r="O40" s="42"/>
      <c r="P40" s="73"/>
      <c r="Q40" s="395"/>
      <c r="R40" s="798"/>
      <c r="S40" s="409"/>
      <c r="T40" s="343"/>
      <c r="U40" s="390"/>
    </row>
    <row r="41" spans="1:23" s="87" customFormat="1" ht="15" customHeight="1">
      <c r="A41" s="246"/>
      <c r="B41" s="172"/>
      <c r="C41" s="172"/>
      <c r="D41" s="61"/>
      <c r="E41" s="60"/>
      <c r="F41" s="60"/>
      <c r="G41" s="60"/>
      <c r="H41" s="60"/>
      <c r="I41" s="60"/>
      <c r="J41" s="60"/>
      <c r="K41" s="244"/>
      <c r="L41" s="132"/>
      <c r="M41" s="61"/>
      <c r="N41" s="243"/>
      <c r="O41" s="42"/>
      <c r="P41" s="705"/>
      <c r="Q41" s="882"/>
      <c r="R41" s="644"/>
      <c r="S41" s="390"/>
      <c r="U41" s="409"/>
    </row>
    <row r="42" spans="1:23" s="91" customFormat="1" ht="15" customHeight="1">
      <c r="B42" s="5" t="str">
        <f>Periode!B42</f>
        <v>Alex van der Laan</v>
      </c>
      <c r="C42" s="5" t="str">
        <f>Periode!G42</f>
        <v>32 (wk)</v>
      </c>
      <c r="D42" s="61">
        <v>2</v>
      </c>
      <c r="E42" s="60">
        <v>16</v>
      </c>
      <c r="F42" s="60"/>
      <c r="G42" s="60"/>
      <c r="H42" s="60">
        <v>24</v>
      </c>
      <c r="I42" s="60"/>
      <c r="J42" s="60"/>
      <c r="K42" s="106">
        <f>(Periode!BB42*E42/40)+((F42+H42+I42)*Periode!BD42/40)+(J42*Periode!BF42/40)+(G42*Periode!BE42/40)</f>
        <v>662.99530000000004</v>
      </c>
      <c r="L42" s="132"/>
      <c r="M42" s="61"/>
      <c r="N42" s="136"/>
      <c r="O42" s="42"/>
      <c r="P42" s="73"/>
      <c r="Q42" s="29">
        <f>K42+O42+P42</f>
        <v>662.99530000000004</v>
      </c>
      <c r="R42" s="271" t="s">
        <v>538</v>
      </c>
      <c r="S42" s="241" t="s">
        <v>135</v>
      </c>
      <c r="U42" s="343"/>
    </row>
    <row r="43" spans="1:23" s="262" customFormat="1" ht="15" customHeight="1" thickBot="1">
      <c r="A43" s="246"/>
      <c r="B43" s="5"/>
      <c r="C43" s="5"/>
      <c r="D43" s="61"/>
      <c r="E43" s="60"/>
      <c r="F43" s="60"/>
      <c r="G43" s="60"/>
      <c r="H43" s="60"/>
      <c r="I43" s="60"/>
      <c r="J43" s="60"/>
      <c r="K43" s="244"/>
      <c r="L43" s="132"/>
      <c r="M43" s="61"/>
      <c r="N43" s="243"/>
      <c r="O43" s="42"/>
      <c r="P43" s="73"/>
      <c r="Q43" s="147"/>
      <c r="R43" s="1226" t="s">
        <v>446</v>
      </c>
      <c r="S43" s="397"/>
      <c r="U43" s="414"/>
    </row>
    <row r="44" spans="1:23" s="91" customFormat="1" ht="15" customHeight="1">
      <c r="B44" s="5"/>
      <c r="C44" s="5"/>
      <c r="D44" s="61"/>
      <c r="E44" s="60"/>
      <c r="F44" s="60"/>
      <c r="G44" s="60"/>
      <c r="H44" s="60"/>
      <c r="I44" s="60"/>
      <c r="J44" s="60"/>
      <c r="K44" s="106"/>
      <c r="L44" s="132"/>
      <c r="M44" s="61"/>
      <c r="N44" s="136"/>
      <c r="O44" s="42"/>
      <c r="P44" s="705"/>
      <c r="Q44" s="830"/>
      <c r="R44" s="962">
        <f>K46+Q45</f>
        <v>595.12531250000006</v>
      </c>
      <c r="S44" s="856" t="s">
        <v>175</v>
      </c>
      <c r="T44" s="825"/>
      <c r="U44" s="826"/>
      <c r="V44" s="825"/>
      <c r="W44" s="827"/>
    </row>
    <row r="45" spans="1:23" s="91" customFormat="1" ht="15" customHeight="1">
      <c r="B45" s="5"/>
      <c r="C45" s="5"/>
      <c r="D45" s="61"/>
      <c r="E45" s="60"/>
      <c r="F45" s="60"/>
      <c r="G45" s="60"/>
      <c r="H45" s="60"/>
      <c r="I45" s="60"/>
      <c r="J45" s="60"/>
      <c r="K45" s="106"/>
      <c r="L45" s="132"/>
      <c r="M45" s="61"/>
      <c r="N45" s="136"/>
      <c r="O45" s="42"/>
      <c r="P45" s="1245" t="s">
        <v>543</v>
      </c>
      <c r="Q45" s="1245">
        <v>131.18</v>
      </c>
      <c r="R45" s="962" t="s">
        <v>452</v>
      </c>
      <c r="S45" s="857" t="s">
        <v>151</v>
      </c>
      <c r="U45" s="343"/>
      <c r="W45" s="858"/>
    </row>
    <row r="46" spans="1:23" s="87" customFormat="1" ht="15" customHeight="1" thickBot="1">
      <c r="A46" s="91"/>
      <c r="B46" s="5" t="str">
        <f>Periode!B46</f>
        <v>Shafieq Asgarali</v>
      </c>
      <c r="C46" s="5" t="str">
        <f>Periode!G46</f>
        <v>32 (4wk)</v>
      </c>
      <c r="D46" s="61">
        <v>5</v>
      </c>
      <c r="E46" s="60">
        <v>37.5</v>
      </c>
      <c r="F46" s="60"/>
      <c r="G46" s="60"/>
      <c r="H46" s="60"/>
      <c r="I46" s="60"/>
      <c r="J46" s="60"/>
      <c r="K46" s="106">
        <f>(Periode!BB46*E46/40)+((F46+H46+I46)*Periode!BD46/40)+(J46*Periode!BF46/40)+(G46*Periode!BE46/40)</f>
        <v>463.9453125</v>
      </c>
      <c r="L46" s="132"/>
      <c r="M46" s="61"/>
      <c r="N46" s="136"/>
      <c r="O46" s="42"/>
      <c r="P46" s="1146">
        <f>(D46*Periode!AY46)</f>
        <v>58.25</v>
      </c>
      <c r="Q46" s="1247">
        <f>K46+O46+P46</f>
        <v>522.1953125</v>
      </c>
      <c r="R46" s="962">
        <f>P46</f>
        <v>58.25</v>
      </c>
      <c r="S46" s="877" t="s">
        <v>258</v>
      </c>
      <c r="T46" s="671"/>
      <c r="U46" s="672"/>
      <c r="V46" s="671"/>
      <c r="W46" s="859"/>
    </row>
    <row r="47" spans="1:23" s="87" customFormat="1" ht="15" customHeight="1" thickBot="1">
      <c r="B47" s="130"/>
      <c r="C47" s="5"/>
      <c r="D47" s="61"/>
      <c r="E47" s="60"/>
      <c r="F47" s="60"/>
      <c r="G47" s="60"/>
      <c r="H47" s="60"/>
      <c r="I47" s="60"/>
      <c r="J47" s="60"/>
      <c r="K47" s="106"/>
      <c r="L47" s="132"/>
      <c r="M47" s="61"/>
      <c r="N47" s="61"/>
      <c r="O47" s="42"/>
      <c r="P47" s="1245" t="s">
        <v>543</v>
      </c>
      <c r="Q47" s="1249">
        <v>153.62</v>
      </c>
      <c r="R47" s="1219" t="s">
        <v>434</v>
      </c>
      <c r="S47" s="676"/>
      <c r="T47" s="854"/>
      <c r="U47" s="855"/>
      <c r="V47" s="854"/>
      <c r="W47" s="854"/>
    </row>
    <row r="48" spans="1:23" s="91" customFormat="1" ht="15" customHeight="1">
      <c r="B48" s="5" t="str">
        <f>Periode!B48</f>
        <v>Sander van den Hoek</v>
      </c>
      <c r="C48" s="5" t="str">
        <f>Periode!G48</f>
        <v>32 (wk)</v>
      </c>
      <c r="D48" s="61">
        <v>5</v>
      </c>
      <c r="E48" s="60">
        <v>38</v>
      </c>
      <c r="F48" s="60"/>
      <c r="G48" s="60"/>
      <c r="H48" s="60"/>
      <c r="I48" s="60"/>
      <c r="J48" s="60"/>
      <c r="K48" s="106">
        <f>(Periode!BB48*E48/40)+((F48+H48+I48)*Periode!BD48/40)+(J48*Periode!BF48/40)+(G48*Periode!BE48/40)</f>
        <v>546.17875000000004</v>
      </c>
      <c r="L48" s="132">
        <v>28</v>
      </c>
      <c r="M48" s="136"/>
      <c r="N48" s="136">
        <f>(L48*D48*2)+M48</f>
        <v>280</v>
      </c>
      <c r="O48" s="561">
        <f>((L48*2*D48)+M48)*0.25</f>
        <v>70</v>
      </c>
      <c r="P48" s="1146">
        <f>(D48*Periode!AY48)</f>
        <v>56.8</v>
      </c>
      <c r="Q48" s="1109">
        <f>K48+O48+P48+P49</f>
        <v>672.97874999999999</v>
      </c>
      <c r="R48" s="1220">
        <f>K48+Q47</f>
        <v>699.79875000000004</v>
      </c>
      <c r="S48" s="878" t="s">
        <v>531</v>
      </c>
      <c r="T48" s="825"/>
      <c r="U48" s="826"/>
      <c r="V48" s="825"/>
      <c r="W48" s="827"/>
    </row>
    <row r="49" spans="2:30" s="87" customFormat="1" ht="15" customHeight="1">
      <c r="B49" s="172"/>
      <c r="C49" s="172"/>
      <c r="D49" s="61"/>
      <c r="E49" s="60"/>
      <c r="F49" s="60"/>
      <c r="G49" s="60"/>
      <c r="H49" s="60"/>
      <c r="I49" s="60"/>
      <c r="J49" s="60"/>
      <c r="K49" s="106"/>
      <c r="L49" s="132"/>
      <c r="M49" s="61"/>
      <c r="N49" s="61"/>
      <c r="O49" s="42"/>
      <c r="P49" s="73"/>
      <c r="Q49" s="389"/>
      <c r="R49" s="962" t="s">
        <v>256</v>
      </c>
      <c r="S49" s="676" t="s">
        <v>247</v>
      </c>
      <c r="T49" s="854"/>
      <c r="U49" s="855"/>
      <c r="V49" s="854"/>
      <c r="W49" s="959"/>
    </row>
    <row r="50" spans="2:30" s="262" customFormat="1" ht="15" customHeight="1" thickBot="1">
      <c r="B50" s="172">
        <f>Periode!B50</f>
        <v>0</v>
      </c>
      <c r="C50" s="172">
        <f>Periode!G50</f>
        <v>0</v>
      </c>
      <c r="D50" s="205"/>
      <c r="E50" s="259"/>
      <c r="F50" s="259"/>
      <c r="G50" s="259"/>
      <c r="H50" s="259"/>
      <c r="I50" s="259"/>
      <c r="J50" s="259"/>
      <c r="K50" s="106"/>
      <c r="L50" s="205"/>
      <c r="M50" s="205"/>
      <c r="N50" s="205"/>
      <c r="O50" s="42"/>
      <c r="P50" s="261"/>
      <c r="Q50" s="304"/>
      <c r="R50" s="1195">
        <f>O48+P48</f>
        <v>126.8</v>
      </c>
      <c r="S50" s="877" t="s">
        <v>248</v>
      </c>
      <c r="T50" s="671"/>
      <c r="U50" s="672"/>
      <c r="V50" s="671"/>
      <c r="W50" s="859"/>
    </row>
    <row r="51" spans="2:30" s="91" customFormat="1" ht="15" customHeight="1">
      <c r="B51" s="5"/>
      <c r="C51" s="5"/>
      <c r="D51" s="61"/>
      <c r="E51" s="60"/>
      <c r="F51" s="60"/>
      <c r="G51" s="60"/>
      <c r="H51" s="60"/>
      <c r="I51" s="60"/>
      <c r="J51" s="60"/>
      <c r="K51" s="106"/>
      <c r="L51" s="132"/>
      <c r="M51" s="136"/>
      <c r="N51" s="136"/>
      <c r="O51" s="42"/>
      <c r="P51" s="73"/>
      <c r="Q51" s="43"/>
      <c r="R51" s="1196" t="s">
        <v>516</v>
      </c>
      <c r="S51" s="241"/>
      <c r="U51" s="343"/>
    </row>
    <row r="52" spans="2:30" s="91" customFormat="1" ht="15" customHeight="1">
      <c r="B52" s="130"/>
      <c r="C52" s="5"/>
      <c r="D52" s="61"/>
      <c r="E52" s="60"/>
      <c r="F52" s="60"/>
      <c r="G52" s="60"/>
      <c r="H52" s="60"/>
      <c r="I52" s="60"/>
      <c r="J52" s="60"/>
      <c r="K52" s="106"/>
      <c r="L52" s="136"/>
      <c r="M52" s="136"/>
      <c r="N52" s="136"/>
      <c r="O52" s="42"/>
      <c r="P52" s="42"/>
      <c r="Q52" s="43"/>
      <c r="R52" s="271"/>
      <c r="S52" s="241"/>
      <c r="U52" s="343"/>
      <c r="AA52" s="87"/>
      <c r="AB52" s="87"/>
      <c r="AC52" s="87"/>
      <c r="AD52" s="87"/>
    </row>
    <row r="53" spans="2:30" s="91" customFormat="1" ht="15" customHeight="1">
      <c r="B53" s="5" t="str">
        <f>Periode!B53</f>
        <v>Ronald van Maanen</v>
      </c>
      <c r="C53" s="5" t="str">
        <f>Periode!G53</f>
        <v>32 (4wk)</v>
      </c>
      <c r="D53" s="61">
        <v>5</v>
      </c>
      <c r="E53" s="60">
        <v>39.5</v>
      </c>
      <c r="F53" s="60"/>
      <c r="G53" s="60"/>
      <c r="H53" s="60"/>
      <c r="I53" s="60"/>
      <c r="J53" s="60"/>
      <c r="K53" s="106">
        <f>(Periode!BB53*E53/40)+((F53+H53+I53)*Periode!BD53/40)+(J53*Periode!BF53/40)+(G53*Periode!BE53/40)</f>
        <v>724.08437500000014</v>
      </c>
      <c r="L53" s="132">
        <v>49</v>
      </c>
      <c r="M53" s="136"/>
      <c r="N53" s="136">
        <f>(L53*D53*2)+M53</f>
        <v>490</v>
      </c>
      <c r="O53" s="42">
        <f>((L53*2*D53)+M53)*0.28</f>
        <v>137.20000000000002</v>
      </c>
      <c r="P53" s="73"/>
      <c r="Q53" s="42">
        <f t="shared" ref="Q53" si="4">K53+O53+P53</f>
        <v>861.28437500000018</v>
      </c>
      <c r="R53" s="608" t="s">
        <v>532</v>
      </c>
      <c r="S53" s="339" t="s">
        <v>392</v>
      </c>
      <c r="U53" s="343"/>
    </row>
    <row r="54" spans="2:30" s="87" customFormat="1" ht="15" customHeight="1">
      <c r="B54" s="172">
        <f>Periode!B75</f>
        <v>0</v>
      </c>
      <c r="C54" s="172">
        <f>Periode!H75</f>
        <v>0</v>
      </c>
      <c r="D54" s="61"/>
      <c r="E54" s="60"/>
      <c r="F54" s="60"/>
      <c r="G54" s="60"/>
      <c r="H54" s="60"/>
      <c r="I54" s="60"/>
      <c r="J54" s="60"/>
      <c r="K54" s="89"/>
      <c r="L54" s="132"/>
      <c r="M54" s="61"/>
      <c r="N54" s="61"/>
      <c r="O54" s="42"/>
      <c r="P54" s="73"/>
      <c r="Q54" s="90"/>
      <c r="R54" s="542"/>
      <c r="S54" s="387"/>
      <c r="U54" s="409"/>
    </row>
    <row r="55" spans="2:30" s="87" customFormat="1" ht="15" customHeight="1">
      <c r="B55" s="172">
        <f>Periode!B76</f>
        <v>0</v>
      </c>
      <c r="C55" s="172">
        <f>Periode!H76</f>
        <v>0</v>
      </c>
      <c r="D55" s="61"/>
      <c r="E55" s="60"/>
      <c r="F55" s="60"/>
      <c r="G55" s="60"/>
      <c r="H55" s="60"/>
      <c r="I55" s="60"/>
      <c r="J55" s="60"/>
      <c r="K55" s="89"/>
      <c r="L55" s="132"/>
      <c r="M55" s="61"/>
      <c r="N55" s="61"/>
      <c r="O55" s="42"/>
      <c r="P55" s="73"/>
      <c r="Q55" s="90"/>
      <c r="R55" s="273"/>
      <c r="S55" s="387"/>
      <c r="U55" s="409"/>
    </row>
    <row r="56" spans="2:30" s="91" customFormat="1" ht="15" customHeight="1">
      <c r="B56" s="5"/>
      <c r="C56" s="5"/>
      <c r="D56" s="61"/>
      <c r="E56" s="60"/>
      <c r="F56" s="60"/>
      <c r="G56" s="60"/>
      <c r="H56" s="60"/>
      <c r="I56" s="60"/>
      <c r="J56" s="60"/>
      <c r="K56" s="106"/>
      <c r="L56" s="132"/>
      <c r="M56" s="136"/>
      <c r="N56" s="136"/>
      <c r="O56" s="42"/>
      <c r="P56" s="1245" t="s">
        <v>543</v>
      </c>
      <c r="Q56" s="1245">
        <v>60.63</v>
      </c>
      <c r="R56" s="271"/>
      <c r="S56" s="339"/>
      <c r="U56" s="343"/>
    </row>
    <row r="57" spans="2:30" s="91" customFormat="1" ht="15" customHeight="1">
      <c r="B57" s="5" t="str">
        <f>Periode!B57</f>
        <v>Erik Visser</v>
      </c>
      <c r="C57" s="5" t="str">
        <f>Periode!G57</f>
        <v>32 (4wk)</v>
      </c>
      <c r="D57" s="61">
        <v>4</v>
      </c>
      <c r="E57" s="60">
        <v>29</v>
      </c>
      <c r="F57" s="60">
        <v>8</v>
      </c>
      <c r="G57" s="60"/>
      <c r="H57" s="60"/>
      <c r="I57" s="60"/>
      <c r="J57" s="60"/>
      <c r="K57" s="106">
        <f>(Periode!BB57*E57/40)+((F57+H57+I57)*Periode!BD57/40)+(J57*Periode!BF57/40)+(G57*Periode!BE57/40)</f>
        <v>515.22692000000006</v>
      </c>
      <c r="L57" s="132">
        <v>14</v>
      </c>
      <c r="M57" s="136">
        <f>74+62+32</f>
        <v>168</v>
      </c>
      <c r="N57" s="136">
        <f>(L57*D57*2)+M57</f>
        <v>280</v>
      </c>
      <c r="O57" s="1190">
        <f>((L57*2*D57))*0.25+(M57*0.28)</f>
        <v>75.040000000000006</v>
      </c>
      <c r="P57" s="1246">
        <v>60.8</v>
      </c>
      <c r="Q57" s="1247">
        <f t="shared" ref="Q57" si="5">K57+O57+P57</f>
        <v>651.06691999999998</v>
      </c>
      <c r="R57" s="971" t="s">
        <v>540</v>
      </c>
      <c r="S57" s="339" t="s">
        <v>419</v>
      </c>
      <c r="U57" s="343"/>
    </row>
    <row r="58" spans="2:30">
      <c r="R58" s="271" t="s">
        <v>539</v>
      </c>
      <c r="S58" s="387" t="s">
        <v>438</v>
      </c>
    </row>
    <row r="59" spans="2:30" s="91" customFormat="1" ht="15" customHeight="1">
      <c r="B59" s="5"/>
      <c r="C59" s="5"/>
      <c r="D59" s="61"/>
      <c r="E59" s="60"/>
      <c r="F59" s="60"/>
      <c r="G59" s="60"/>
      <c r="H59" s="60"/>
      <c r="I59" s="60"/>
      <c r="J59" s="60"/>
      <c r="K59" s="106"/>
      <c r="L59" s="132"/>
      <c r="M59" s="136"/>
      <c r="N59" s="136"/>
      <c r="O59" s="42"/>
      <c r="P59" s="876"/>
      <c r="Q59" s="705"/>
      <c r="R59" s="271" t="s">
        <v>554</v>
      </c>
      <c r="S59" s="241"/>
      <c r="U59" s="343"/>
    </row>
    <row r="60" spans="2:30" s="91" customFormat="1" ht="15" customHeight="1">
      <c r="B60" s="5"/>
      <c r="C60" s="5"/>
      <c r="D60" s="61"/>
      <c r="E60" s="60"/>
      <c r="F60" s="60"/>
      <c r="G60" s="60"/>
      <c r="H60" s="60"/>
      <c r="I60" s="60"/>
      <c r="J60" s="60"/>
      <c r="K60" s="106"/>
      <c r="L60" s="132"/>
      <c r="M60" s="136"/>
      <c r="N60" s="136"/>
      <c r="O60" s="42"/>
      <c r="P60" s="73"/>
      <c r="Q60" s="42"/>
      <c r="R60" s="1226" t="s">
        <v>446</v>
      </c>
      <c r="S60" s="339"/>
      <c r="U60" s="343"/>
    </row>
    <row r="61" spans="2:30" s="87" customFormat="1" ht="15" customHeight="1">
      <c r="B61" s="172">
        <f>Periode!B61</f>
        <v>0</v>
      </c>
      <c r="C61" s="172"/>
      <c r="D61" s="61"/>
      <c r="E61" s="60"/>
      <c r="F61" s="60"/>
      <c r="G61" s="60"/>
      <c r="H61" s="60"/>
      <c r="I61" s="60"/>
      <c r="J61" s="60"/>
      <c r="K61" s="89"/>
      <c r="L61" s="112"/>
      <c r="M61" s="112"/>
      <c r="N61" s="112"/>
      <c r="O61" s="42"/>
      <c r="P61" s="73"/>
      <c r="Q61" s="90"/>
      <c r="R61" s="1227">
        <f>K63+Q62</f>
        <v>587.76531249999994</v>
      </c>
      <c r="S61" s="387"/>
      <c r="U61" s="409"/>
    </row>
    <row r="62" spans="2:30" s="87" customFormat="1" ht="15" customHeight="1">
      <c r="B62" s="172">
        <f>Periode!B62</f>
        <v>0</v>
      </c>
      <c r="C62" s="5"/>
      <c r="D62" s="61"/>
      <c r="E62" s="60"/>
      <c r="F62" s="60"/>
      <c r="G62" s="60"/>
      <c r="H62" s="60"/>
      <c r="I62" s="60"/>
      <c r="J62" s="60"/>
      <c r="K62" s="89"/>
      <c r="L62" s="112"/>
      <c r="M62" s="112"/>
      <c r="N62" s="112"/>
      <c r="O62" s="42"/>
      <c r="P62" s="1250" t="s">
        <v>543</v>
      </c>
      <c r="Q62" s="1249">
        <v>123.82</v>
      </c>
      <c r="R62" s="1227" t="s">
        <v>453</v>
      </c>
      <c r="S62" s="387"/>
      <c r="U62" s="409"/>
    </row>
    <row r="63" spans="2:30" s="91" customFormat="1" ht="15" customHeight="1">
      <c r="B63" s="5" t="str">
        <f>Periode!B63</f>
        <v>Youri Nouwens</v>
      </c>
      <c r="C63" s="5" t="str">
        <f>Periode!G63</f>
        <v>32 (4wk)</v>
      </c>
      <c r="D63" s="61"/>
      <c r="E63" s="60">
        <v>37.5</v>
      </c>
      <c r="F63" s="60"/>
      <c r="G63" s="60"/>
      <c r="H63" s="60"/>
      <c r="I63" s="60"/>
      <c r="J63" s="60"/>
      <c r="K63" s="106">
        <f>(Periode!BB63*E63/40)+((F63+H63+I63)*Periode!BD63/40)+(J63*Periode!BF63/40)+(G63*Periode!BE63/40)</f>
        <v>463.9453125</v>
      </c>
      <c r="L63" s="132"/>
      <c r="M63" s="136"/>
      <c r="N63" s="136"/>
      <c r="O63" s="42"/>
      <c r="P63" s="1146">
        <f>(D63*Periode!AY63)</f>
        <v>0</v>
      </c>
      <c r="Q63" s="1109">
        <f>K63+O63+P63</f>
        <v>463.9453125</v>
      </c>
      <c r="R63" s="962">
        <f>P63</f>
        <v>0</v>
      </c>
      <c r="S63" s="339" t="s">
        <v>158</v>
      </c>
      <c r="U63" s="343"/>
    </row>
    <row r="64" spans="2:30" s="87" customFormat="1" ht="15" customHeight="1">
      <c r="B64" s="172">
        <f>Periode!B64</f>
        <v>0</v>
      </c>
      <c r="C64" s="172"/>
      <c r="D64" s="61"/>
      <c r="E64" s="60"/>
      <c r="F64" s="60"/>
      <c r="G64" s="60"/>
      <c r="H64" s="60"/>
      <c r="I64" s="60"/>
      <c r="J64" s="60"/>
      <c r="K64" s="89"/>
      <c r="L64" s="132"/>
      <c r="M64" s="61"/>
      <c r="N64" s="61"/>
      <c r="O64" s="42"/>
      <c r="P64" s="73"/>
      <c r="Q64" s="800"/>
      <c r="R64" s="1232" t="s">
        <v>495</v>
      </c>
      <c r="S64" s="675" t="s">
        <v>159</v>
      </c>
      <c r="T64" s="91"/>
      <c r="U64" s="91"/>
      <c r="V64" s="91"/>
      <c r="W64" s="91"/>
      <c r="X64" s="91"/>
      <c r="Y64" s="91"/>
    </row>
    <row r="65" spans="2:25" s="91" customFormat="1" ht="15" customHeight="1">
      <c r="B65" s="5"/>
      <c r="C65" s="5"/>
      <c r="D65" s="61"/>
      <c r="E65" s="60"/>
      <c r="F65" s="60"/>
      <c r="G65" s="60"/>
      <c r="H65" s="60"/>
      <c r="I65" s="60"/>
      <c r="J65" s="438"/>
      <c r="K65" s="106"/>
      <c r="L65" s="132"/>
      <c r="M65" s="136"/>
      <c r="N65" s="136"/>
      <c r="O65" s="42"/>
      <c r="P65" s="42"/>
      <c r="Q65" s="42"/>
      <c r="R65" s="271"/>
      <c r="S65" s="676" t="s">
        <v>160</v>
      </c>
      <c r="T65" s="87"/>
      <c r="U65" s="87"/>
      <c r="V65" s="87"/>
      <c r="W65" s="87"/>
      <c r="X65" s="87"/>
      <c r="Y65" s="87"/>
    </row>
    <row r="66" spans="2:25" s="91" customFormat="1" ht="15" customHeight="1">
      <c r="B66" s="5"/>
      <c r="C66" s="5"/>
      <c r="D66" s="61"/>
      <c r="E66" s="60"/>
      <c r="F66" s="60"/>
      <c r="G66" s="60"/>
      <c r="H66" s="60"/>
      <c r="I66" s="60"/>
      <c r="J66" s="60"/>
      <c r="K66" s="106"/>
      <c r="L66" s="132"/>
      <c r="M66" s="136"/>
      <c r="N66" s="136"/>
      <c r="O66" s="42"/>
      <c r="P66" s="73"/>
      <c r="Q66" s="42"/>
      <c r="R66" s="271"/>
      <c r="S66" s="241"/>
      <c r="U66" s="343"/>
    </row>
    <row r="67" spans="2:25" s="91" customFormat="1" ht="15" customHeight="1">
      <c r="B67" s="5"/>
      <c r="C67" s="5"/>
      <c r="D67" s="61"/>
      <c r="E67" s="60"/>
      <c r="F67" s="60"/>
      <c r="G67" s="60"/>
      <c r="H67" s="60"/>
      <c r="I67" s="60"/>
      <c r="J67" s="60"/>
      <c r="K67" s="106"/>
      <c r="L67" s="136"/>
      <c r="M67" s="136"/>
      <c r="N67" s="136"/>
      <c r="O67" s="42"/>
      <c r="P67" s="73"/>
      <c r="Q67" s="43"/>
      <c r="R67" s="271"/>
      <c r="S67" s="390"/>
      <c r="U67" s="343"/>
    </row>
    <row r="68" spans="2:25" s="262" customFormat="1" ht="15" customHeight="1">
      <c r="B68" s="172">
        <f>Periode!B68</f>
        <v>0</v>
      </c>
      <c r="C68" s="172"/>
      <c r="D68" s="61"/>
      <c r="E68" s="60"/>
      <c r="F68" s="60"/>
      <c r="G68" s="60"/>
      <c r="H68" s="60"/>
      <c r="I68" s="60"/>
      <c r="J68" s="60"/>
      <c r="K68" s="260">
        <f>(Periode!BB68*E68/40)+((F68+G68+H68+I68)*Periode!BD68/40)+(J68*Periode!BF68/40)</f>
        <v>0</v>
      </c>
      <c r="L68" s="205">
        <v>52</v>
      </c>
      <c r="M68" s="205"/>
      <c r="N68" s="205">
        <f>(L68*D68*2)+M68</f>
        <v>0</v>
      </c>
      <c r="O68" s="42"/>
      <c r="P68" s="261"/>
      <c r="Q68" s="261">
        <f>K68+O68+P68</f>
        <v>0</v>
      </c>
      <c r="R68" s="271"/>
      <c r="S68" s="390"/>
      <c r="U68" s="414"/>
    </row>
    <row r="69" spans="2:25" s="87" customFormat="1" ht="15" customHeight="1">
      <c r="B69" s="172">
        <f>Periode!B69</f>
        <v>0</v>
      </c>
      <c r="C69" s="172"/>
      <c r="D69" s="61"/>
      <c r="E69" s="60"/>
      <c r="F69" s="60"/>
      <c r="G69" s="60"/>
      <c r="H69" s="60"/>
      <c r="I69" s="60"/>
      <c r="J69" s="60"/>
      <c r="K69" s="89"/>
      <c r="L69" s="132"/>
      <c r="M69" s="61"/>
      <c r="N69" s="61"/>
      <c r="O69" s="42"/>
      <c r="P69" s="73"/>
      <c r="Q69" s="90"/>
      <c r="R69" s="271"/>
      <c r="S69" s="387"/>
      <c r="U69" s="409"/>
    </row>
    <row r="70" spans="2:25" s="91" customFormat="1" ht="15" customHeight="1">
      <c r="B70" s="5" t="str">
        <f>Periode!B70</f>
        <v>Marco Booij</v>
      </c>
      <c r="C70" s="5" t="str">
        <f>Periode!G70</f>
        <v>32 (4wk)</v>
      </c>
      <c r="D70" s="61"/>
      <c r="E70" s="60"/>
      <c r="F70" s="60"/>
      <c r="G70" s="235"/>
      <c r="H70" s="235"/>
      <c r="I70" s="235"/>
      <c r="J70" s="60"/>
      <c r="K70" s="106">
        <f>(Periode!BB70*E70/40)+((F70+H70+I70)*Periode!BD70/40)+(J70*Periode!BF70/40)+(G70*Periode!BE70/40)</f>
        <v>0</v>
      </c>
      <c r="L70" s="132"/>
      <c r="M70" s="136"/>
      <c r="N70" s="136"/>
      <c r="O70" s="42"/>
      <c r="P70" s="73">
        <v>171.65</v>
      </c>
      <c r="Q70" s="42">
        <f>K70+O70+P70</f>
        <v>171.65</v>
      </c>
      <c r="R70" s="271" t="s">
        <v>405</v>
      </c>
      <c r="S70" s="241" t="s">
        <v>136</v>
      </c>
      <c r="U70" s="343"/>
    </row>
    <row r="71" spans="2:25" s="91" customFormat="1" ht="15" customHeight="1">
      <c r="B71" s="5"/>
      <c r="C71" s="5"/>
      <c r="D71" s="61"/>
      <c r="E71" s="60"/>
      <c r="F71" s="60"/>
      <c r="G71" s="60"/>
      <c r="H71" s="60"/>
      <c r="I71" s="60"/>
      <c r="J71" s="438"/>
      <c r="K71" s="106"/>
      <c r="L71" s="132"/>
      <c r="M71" s="132"/>
      <c r="N71" s="136"/>
      <c r="O71" s="42"/>
      <c r="P71" s="42"/>
      <c r="Q71" s="42"/>
      <c r="R71" s="347"/>
      <c r="S71" s="241"/>
      <c r="U71" s="343"/>
    </row>
    <row r="72" spans="2:25" s="262" customFormat="1" ht="15" customHeight="1">
      <c r="B72" s="172"/>
      <c r="C72" s="172"/>
      <c r="D72" s="61"/>
      <c r="E72" s="60"/>
      <c r="F72" s="60"/>
      <c r="G72" s="60"/>
      <c r="H72" s="60"/>
      <c r="I72" s="60"/>
      <c r="J72" s="60"/>
      <c r="K72" s="260">
        <f>(Periode!BB72*E72/40)+((F72+G72+H72+I72)*Periode!BD72/40)+(J72*Periode!BF72/40)</f>
        <v>0</v>
      </c>
      <c r="L72" s="205">
        <v>50</v>
      </c>
      <c r="M72" s="205"/>
      <c r="N72" s="205">
        <f>(L72*D72*2)+M72</f>
        <v>0</v>
      </c>
      <c r="O72" s="42"/>
      <c r="P72" s="261"/>
      <c r="Q72" s="261">
        <f>K72+O72+P72</f>
        <v>0</v>
      </c>
      <c r="R72" s="275"/>
      <c r="S72" s="410" t="s">
        <v>129</v>
      </c>
      <c r="U72" s="414"/>
    </row>
    <row r="73" spans="2:25" s="87" customFormat="1" ht="15" customHeight="1">
      <c r="B73" s="172">
        <v>0</v>
      </c>
      <c r="C73" s="172"/>
      <c r="D73" s="61"/>
      <c r="E73" s="60"/>
      <c r="F73" s="60"/>
      <c r="G73" s="60"/>
      <c r="H73" s="60"/>
      <c r="I73" s="60"/>
      <c r="J73" s="60"/>
      <c r="K73" s="89"/>
      <c r="L73" s="132"/>
      <c r="M73" s="61"/>
      <c r="N73" s="61"/>
      <c r="O73" s="42"/>
      <c r="P73" s="73"/>
      <c r="Q73" s="90"/>
      <c r="R73" s="799"/>
      <c r="S73" s="387"/>
      <c r="U73" s="409"/>
    </row>
    <row r="74" spans="2:25" s="91" customFormat="1" ht="15" customHeight="1">
      <c r="B74" s="5" t="str">
        <f>Periode!B74</f>
        <v>Kevin Schuiling</v>
      </c>
      <c r="C74" s="5" t="str">
        <f>Periode!G74</f>
        <v>32 (4wk)</v>
      </c>
      <c r="D74" s="61">
        <v>5</v>
      </c>
      <c r="E74" s="60">
        <v>40</v>
      </c>
      <c r="F74" s="60"/>
      <c r="G74" s="235"/>
      <c r="H74" s="60"/>
      <c r="I74" s="235"/>
      <c r="J74" s="60"/>
      <c r="K74" s="106">
        <f>(Periode!BB74*E74/40)+((F74+H74+I74)*Periode!BD74/40)+(J74*Periode!BF74/40)+(G74*Periode!BE74/40)</f>
        <v>600</v>
      </c>
      <c r="L74" s="132">
        <v>58</v>
      </c>
      <c r="M74" s="136"/>
      <c r="N74" s="136">
        <f>(L74*D74*2)+M74</f>
        <v>580</v>
      </c>
      <c r="O74" s="42">
        <f>((L74*2*D74)+M74)*0.28</f>
        <v>162.4</v>
      </c>
      <c r="P74" s="73"/>
      <c r="Q74" s="42">
        <f>K74+O74+P74</f>
        <v>762.4</v>
      </c>
      <c r="R74" s="271"/>
      <c r="S74" s="241" t="s">
        <v>529</v>
      </c>
      <c r="U74" s="343"/>
    </row>
    <row r="75" spans="2:25" s="87" customFormat="1" ht="15" customHeight="1">
      <c r="B75" s="172">
        <f>Periode!B75</f>
        <v>0</v>
      </c>
      <c r="C75" s="172"/>
      <c r="D75" s="61"/>
      <c r="E75" s="60"/>
      <c r="F75" s="60"/>
      <c r="G75" s="60"/>
      <c r="H75" s="60"/>
      <c r="I75" s="60"/>
      <c r="J75" s="60"/>
      <c r="K75" s="89"/>
      <c r="L75" s="132"/>
      <c r="M75" s="61"/>
      <c r="N75" s="61"/>
      <c r="O75" s="42"/>
      <c r="P75" s="73"/>
      <c r="Q75" s="284"/>
      <c r="R75" s="271"/>
      <c r="S75" s="387"/>
      <c r="U75" s="409"/>
    </row>
    <row r="76" spans="2:25" s="87" customFormat="1" ht="15" customHeight="1">
      <c r="B76" s="172">
        <f>Periode!B76</f>
        <v>0</v>
      </c>
      <c r="C76" s="172"/>
      <c r="D76" s="61"/>
      <c r="E76" s="60"/>
      <c r="F76" s="60"/>
      <c r="G76" s="60"/>
      <c r="H76" s="60"/>
      <c r="I76" s="60"/>
      <c r="J76" s="60"/>
      <c r="K76" s="89"/>
      <c r="L76" s="132"/>
      <c r="M76" s="61"/>
      <c r="N76" s="61"/>
      <c r="O76" s="42"/>
      <c r="P76" s="1245" t="s">
        <v>543</v>
      </c>
      <c r="Q76" s="1249">
        <v>60.43</v>
      </c>
      <c r="R76" s="799"/>
      <c r="S76" s="387"/>
      <c r="U76" s="409"/>
    </row>
    <row r="77" spans="2:25" s="91" customFormat="1" ht="15" customHeight="1">
      <c r="B77" s="5" t="str">
        <f>Periode!B77</f>
        <v>Steven Lamers</v>
      </c>
      <c r="C77" s="5" t="str">
        <f>Periode!G77</f>
        <v>32 (4wk)</v>
      </c>
      <c r="D77" s="61">
        <v>5</v>
      </c>
      <c r="E77" s="60">
        <v>40</v>
      </c>
      <c r="F77" s="60"/>
      <c r="G77" s="60"/>
      <c r="H77" s="60"/>
      <c r="I77" s="60"/>
      <c r="J77" s="60"/>
      <c r="K77" s="106">
        <f>(Periode!BB77*E77/40)+((F77+H77+I77)*Periode!BD77/40)+(J77*Periode!BF77/40)+(G77*Periode!BE77/40)</f>
        <v>663.32</v>
      </c>
      <c r="L77" s="132"/>
      <c r="M77" s="136"/>
      <c r="N77" s="136"/>
      <c r="O77" s="42"/>
      <c r="P77" s="1246">
        <f>-2*139</f>
        <v>-278</v>
      </c>
      <c r="Q77" s="1109">
        <f>(K77+O77+P77)</f>
        <v>385.32000000000005</v>
      </c>
      <c r="R77" s="271" t="s">
        <v>546</v>
      </c>
      <c r="S77" s="241" t="s">
        <v>222</v>
      </c>
      <c r="U77" s="343"/>
    </row>
    <row r="78" spans="2:25" s="87" customFormat="1" ht="15" customHeight="1">
      <c r="B78" s="172">
        <f>Periode!B78</f>
        <v>0</v>
      </c>
      <c r="C78" s="172">
        <f>Periode!H78</f>
        <v>0</v>
      </c>
      <c r="D78" s="61"/>
      <c r="E78" s="60"/>
      <c r="F78" s="60"/>
      <c r="G78" s="60"/>
      <c r="H78" s="60"/>
      <c r="I78" s="60"/>
      <c r="J78" s="60"/>
      <c r="K78" s="89"/>
      <c r="L78" s="132"/>
      <c r="M78" s="61"/>
      <c r="N78" s="61"/>
      <c r="O78" s="42"/>
      <c r="P78" s="73"/>
      <c r="Q78" s="284"/>
      <c r="R78" s="347"/>
      <c r="S78" s="675" t="s">
        <v>228</v>
      </c>
      <c r="U78" s="409"/>
    </row>
    <row r="79" spans="2:25" s="87" customFormat="1" ht="15" customHeight="1">
      <c r="B79" s="172">
        <f>Periode!B79</f>
        <v>0</v>
      </c>
      <c r="C79" s="172">
        <f>Periode!H79</f>
        <v>0</v>
      </c>
      <c r="D79" s="61"/>
      <c r="E79" s="60"/>
      <c r="F79" s="60"/>
      <c r="G79" s="60"/>
      <c r="H79" s="60"/>
      <c r="I79" s="60"/>
      <c r="J79" s="60"/>
      <c r="K79" s="89"/>
      <c r="L79" s="132"/>
      <c r="M79" s="61"/>
      <c r="N79" s="61"/>
      <c r="O79" s="42"/>
      <c r="P79" s="73"/>
      <c r="Q79" s="90"/>
      <c r="R79" s="271"/>
      <c r="S79" s="387"/>
      <c r="U79" s="409"/>
    </row>
    <row r="80" spans="2:25" s="91" customFormat="1" ht="15" customHeight="1">
      <c r="B80" s="5" t="str">
        <f>Periode!B80</f>
        <v>Leo van Doorn</v>
      </c>
      <c r="C80" s="5" t="str">
        <f>Periode!G80</f>
        <v>0</v>
      </c>
      <c r="D80" s="61">
        <v>5</v>
      </c>
      <c r="E80" s="60">
        <v>40</v>
      </c>
      <c r="F80" s="60"/>
      <c r="G80" s="235"/>
      <c r="H80" s="60"/>
      <c r="I80" s="60"/>
      <c r="J80" s="60"/>
      <c r="K80" s="106">
        <f>(Periode!BB80*E80/40)+((F80+H80+I80)*Periode!BD80/40)+(J80*Periode!BF80/40)+(G80*Periode!BE80/40)</f>
        <v>711.76</v>
      </c>
      <c r="L80" s="132">
        <v>21</v>
      </c>
      <c r="M80" s="136"/>
      <c r="N80" s="136">
        <f>(L80*D80*2)+M80</f>
        <v>210</v>
      </c>
      <c r="O80" s="42">
        <f>((L80*2*D80)+M80)*0.28</f>
        <v>58.800000000000004</v>
      </c>
      <c r="P80" s="73"/>
      <c r="Q80" s="42">
        <f>K80+O80+P80</f>
        <v>770.56</v>
      </c>
      <c r="R80" s="271"/>
      <c r="S80" s="241" t="s">
        <v>238</v>
      </c>
      <c r="U80" s="343"/>
    </row>
    <row r="81" spans="2:21" s="87" customFormat="1" ht="15" customHeight="1">
      <c r="B81" s="172">
        <f>Periode!B81</f>
        <v>0</v>
      </c>
      <c r="C81" s="172">
        <f>Periode!H81</f>
        <v>0</v>
      </c>
      <c r="D81" s="61"/>
      <c r="E81" s="60"/>
      <c r="F81" s="60"/>
      <c r="G81" s="60"/>
      <c r="H81" s="60"/>
      <c r="I81" s="60"/>
      <c r="J81" s="60"/>
      <c r="K81" s="89"/>
      <c r="L81" s="132"/>
      <c r="M81" s="61"/>
      <c r="N81" s="61"/>
      <c r="O81" s="42"/>
      <c r="P81" s="73"/>
      <c r="Q81" s="284"/>
      <c r="R81" s="271"/>
      <c r="S81" s="387"/>
      <c r="U81" s="409"/>
    </row>
    <row r="82" spans="2:21" s="87" customFormat="1" ht="15" customHeight="1">
      <c r="B82" s="172">
        <f>Periode!B82</f>
        <v>0</v>
      </c>
      <c r="C82" s="172">
        <f>Periode!H82</f>
        <v>0</v>
      </c>
      <c r="D82" s="61"/>
      <c r="E82" s="60"/>
      <c r="F82" s="60"/>
      <c r="G82" s="60"/>
      <c r="H82" s="60"/>
      <c r="I82" s="60"/>
      <c r="J82" s="60"/>
      <c r="K82" s="89"/>
      <c r="L82" s="132"/>
      <c r="M82" s="61"/>
      <c r="N82" s="61"/>
      <c r="O82" s="42"/>
      <c r="P82" s="1245" t="s">
        <v>543</v>
      </c>
      <c r="Q82" s="1249">
        <v>46.36</v>
      </c>
      <c r="R82" s="271"/>
      <c r="S82" s="387"/>
      <c r="U82" s="409"/>
    </row>
    <row r="83" spans="2:21" s="91" customFormat="1" ht="15" customHeight="1">
      <c r="B83" s="1149" t="str">
        <f>Periode!B83</f>
        <v>Tobin van de Kuil</v>
      </c>
      <c r="C83" s="5" t="str">
        <f>Periode!G83</f>
        <v>0</v>
      </c>
      <c r="D83" s="61">
        <v>4</v>
      </c>
      <c r="E83" s="60">
        <v>31</v>
      </c>
      <c r="F83" s="60">
        <v>7.5</v>
      </c>
      <c r="G83" s="60"/>
      <c r="H83" s="60"/>
      <c r="I83" s="60"/>
      <c r="J83" s="60"/>
      <c r="K83" s="106">
        <f>(Periode!BB83*E83/40)+((F83+H83+I83)*Periode!BD83/40)+(J83*Periode!BF83/40)+(G83*Periode!BE83/40)</f>
        <v>720.16513437499998</v>
      </c>
      <c r="L83" s="132">
        <v>0</v>
      </c>
      <c r="M83" s="136">
        <v>364</v>
      </c>
      <c r="N83" s="136">
        <f>(L83*D83*2)+M83</f>
        <v>364</v>
      </c>
      <c r="O83" s="42">
        <f>((L83*2*D83)+M83)*0.28</f>
        <v>101.92000000000002</v>
      </c>
      <c r="P83" s="1246"/>
      <c r="Q83" s="1109">
        <f>K83+O83+P83</f>
        <v>822.08513437500005</v>
      </c>
      <c r="R83" s="271" t="s">
        <v>547</v>
      </c>
      <c r="S83" s="241" t="s">
        <v>420</v>
      </c>
      <c r="U83" s="343"/>
    </row>
    <row r="84" spans="2:21" s="87" customFormat="1" ht="15" customHeight="1">
      <c r="B84" s="172"/>
      <c r="C84" s="172">
        <f>Periode!H84</f>
        <v>0</v>
      </c>
      <c r="D84" s="61"/>
      <c r="E84" s="60"/>
      <c r="F84" s="60"/>
      <c r="G84" s="60"/>
      <c r="H84" s="60"/>
      <c r="I84" s="60"/>
      <c r="J84" s="60"/>
      <c r="K84" s="89"/>
      <c r="L84" s="132"/>
      <c r="M84" s="61"/>
      <c r="N84" s="61"/>
      <c r="O84" s="42"/>
      <c r="P84" s="73"/>
      <c r="Q84" s="284"/>
      <c r="R84" s="347"/>
      <c r="S84" s="387"/>
      <c r="U84" s="409"/>
    </row>
    <row r="85" spans="2:21" s="87" customFormat="1" ht="15" customHeight="1">
      <c r="B85" s="172">
        <f>Periode!B85</f>
        <v>0</v>
      </c>
      <c r="C85" s="172">
        <f>Periode!H85</f>
        <v>0</v>
      </c>
      <c r="D85" s="61"/>
      <c r="E85" s="60"/>
      <c r="F85" s="60"/>
      <c r="G85" s="60"/>
      <c r="H85" s="60"/>
      <c r="I85" s="60"/>
      <c r="J85" s="60"/>
      <c r="K85" s="89"/>
      <c r="L85" s="132"/>
      <c r="M85" s="61"/>
      <c r="N85" s="61"/>
      <c r="O85" s="42"/>
      <c r="P85" s="73"/>
      <c r="Q85" s="90"/>
      <c r="R85" s="271"/>
      <c r="S85" s="387"/>
      <c r="U85" s="409"/>
    </row>
    <row r="86" spans="2:21" s="87" customFormat="1" ht="15" customHeight="1">
      <c r="B86" s="172">
        <f>Periode!B86</f>
        <v>0</v>
      </c>
      <c r="C86" s="172">
        <f>Periode!H86</f>
        <v>0</v>
      </c>
      <c r="D86" s="61"/>
      <c r="E86" s="60"/>
      <c r="F86" s="60"/>
      <c r="G86" s="60"/>
      <c r="H86" s="60"/>
      <c r="I86" s="60"/>
      <c r="J86" s="60"/>
      <c r="K86" s="89"/>
      <c r="L86" s="132"/>
      <c r="M86" s="61"/>
      <c r="N86" s="61"/>
      <c r="O86" s="42"/>
      <c r="P86" s="73"/>
      <c r="Q86" s="90"/>
      <c r="R86" s="271"/>
      <c r="S86" s="387"/>
      <c r="U86" s="409"/>
    </row>
    <row r="87" spans="2:21" s="91" customFormat="1" ht="15" customHeight="1">
      <c r="B87" s="5" t="str">
        <f>Periode!B87</f>
        <v>Carlo Peetoom</v>
      </c>
      <c r="C87" s="5" t="str">
        <f>Periode!G87</f>
        <v>32 (4wk)</v>
      </c>
      <c r="D87" s="61">
        <v>4</v>
      </c>
      <c r="E87" s="60">
        <v>32</v>
      </c>
      <c r="F87" s="60"/>
      <c r="G87" s="235"/>
      <c r="H87" s="60"/>
      <c r="I87" s="60"/>
      <c r="J87" s="60"/>
      <c r="K87" s="106">
        <f>(Periode!BB87*E87/40)+((F87+H87+I87)*Periode!BD87/40)+(J87*Periode!BF87/40)+(G87*Periode!BE87/40)</f>
        <v>672.54</v>
      </c>
      <c r="L87" s="132">
        <v>40</v>
      </c>
      <c r="M87" s="136"/>
      <c r="N87" s="136">
        <f>(L87*D87*2)+M87</f>
        <v>320</v>
      </c>
      <c r="O87" s="561">
        <f>((L87*2*D87)+M87)*0.25</f>
        <v>80</v>
      </c>
      <c r="P87" s="73"/>
      <c r="Q87" s="42">
        <f>K87+O87+P87</f>
        <v>752.54</v>
      </c>
      <c r="R87" s="271" t="s">
        <v>461</v>
      </c>
      <c r="S87" s="241" t="s">
        <v>442</v>
      </c>
      <c r="U87" s="343"/>
    </row>
    <row r="88" spans="2:21" s="87" customFormat="1" ht="15" customHeight="1">
      <c r="B88" s="172">
        <f>Periode!B88</f>
        <v>0</v>
      </c>
      <c r="C88" s="172">
        <f>Periode!H88</f>
        <v>0</v>
      </c>
      <c r="D88" s="61"/>
      <c r="E88" s="60"/>
      <c r="F88" s="60"/>
      <c r="G88" s="60"/>
      <c r="H88" s="60"/>
      <c r="I88" s="60"/>
      <c r="J88" s="60"/>
      <c r="K88" s="89"/>
      <c r="L88" s="132"/>
      <c r="M88" s="61"/>
      <c r="N88" s="61"/>
      <c r="O88" s="42"/>
      <c r="P88" s="73"/>
      <c r="Q88" s="90"/>
      <c r="R88" s="271"/>
      <c r="S88" s="387"/>
      <c r="U88" s="409"/>
    </row>
    <row r="89" spans="2:21" s="87" customFormat="1" ht="15" customHeight="1">
      <c r="B89" s="172">
        <f>Periode!B89</f>
        <v>0</v>
      </c>
      <c r="C89" s="172">
        <f>Periode!H89</f>
        <v>0</v>
      </c>
      <c r="D89" s="61"/>
      <c r="E89" s="60"/>
      <c r="F89" s="60"/>
      <c r="G89" s="60"/>
      <c r="H89" s="60"/>
      <c r="I89" s="60"/>
      <c r="J89" s="60"/>
      <c r="K89" s="89"/>
      <c r="L89" s="132"/>
      <c r="M89" s="61"/>
      <c r="N89" s="61"/>
      <c r="O89" s="42"/>
      <c r="P89" s="73"/>
      <c r="Q89" s="90"/>
      <c r="R89" s="271"/>
      <c r="S89" s="387"/>
      <c r="U89" s="409"/>
    </row>
    <row r="90" spans="2:21" s="91" customFormat="1" ht="15" customHeight="1">
      <c r="B90" s="1149" t="str">
        <f>Periode!B90</f>
        <v>Aries Provence</v>
      </c>
      <c r="C90" s="5" t="str">
        <f>Periode!G90</f>
        <v>0</v>
      </c>
      <c r="D90" s="61">
        <v>5</v>
      </c>
      <c r="E90" s="60">
        <v>40</v>
      </c>
      <c r="F90" s="60"/>
      <c r="G90" s="60"/>
      <c r="H90" s="60"/>
      <c r="I90" s="60"/>
      <c r="J90" s="60"/>
      <c r="K90" s="106">
        <f>(Periode!BB90*E90/40)+((F90+H90+I90)*Periode!BD90/40)+(J90*Periode!BF90/40)+(G90*Periode!BE90/40)</f>
        <v>600.34500000000003</v>
      </c>
      <c r="L90" s="132">
        <v>85</v>
      </c>
      <c r="M90" s="136"/>
      <c r="N90" s="136">
        <f>(L90*D90*2)+M90</f>
        <v>850</v>
      </c>
      <c r="O90" s="561">
        <f>((L90*2*D90)+M90)*0.25</f>
        <v>212.5</v>
      </c>
      <c r="P90" s="73"/>
      <c r="Q90" s="42">
        <f>K90+O90+P90</f>
        <v>812.84500000000003</v>
      </c>
      <c r="R90" s="271"/>
      <c r="S90" s="241" t="s">
        <v>422</v>
      </c>
      <c r="U90" s="343"/>
    </row>
    <row r="91" spans="2:21" s="87" customFormat="1" ht="15" customHeight="1">
      <c r="B91" s="172">
        <f>Periode!B91</f>
        <v>0</v>
      </c>
      <c r="C91" s="172">
        <f>Periode!H91</f>
        <v>0</v>
      </c>
      <c r="D91" s="61"/>
      <c r="E91" s="60"/>
      <c r="F91" s="60"/>
      <c r="G91" s="60"/>
      <c r="H91" s="60"/>
      <c r="I91" s="60"/>
      <c r="J91" s="60"/>
      <c r="K91" s="89"/>
      <c r="L91" s="132"/>
      <c r="M91" s="61"/>
      <c r="N91" s="61"/>
      <c r="O91" s="42"/>
      <c r="P91" s="73"/>
      <c r="Q91" s="90"/>
      <c r="R91" s="271"/>
      <c r="S91" s="387"/>
      <c r="U91" s="409"/>
    </row>
    <row r="92" spans="2:21" s="91" customFormat="1" ht="15" customHeight="1">
      <c r="B92" s="1149" t="str">
        <f>Periode!B92</f>
        <v>Gregory de Graaf</v>
      </c>
      <c r="C92" s="5" t="str">
        <f>Periode!G92</f>
        <v>0</v>
      </c>
      <c r="D92" s="61">
        <v>4</v>
      </c>
      <c r="E92" s="60">
        <v>29</v>
      </c>
      <c r="F92" s="60"/>
      <c r="G92" s="60"/>
      <c r="H92" s="60"/>
      <c r="I92" s="60">
        <v>4</v>
      </c>
      <c r="J92" s="60"/>
      <c r="K92" s="106">
        <f>(Periode!BB92*E92/40)+((F92+H92+I92)*Periode!BD92/40)+(J92*Periode!BF92/40)+(G92*Periode!BE92/40)</f>
        <v>606.99329999999998</v>
      </c>
      <c r="L92" s="132"/>
      <c r="M92" s="136"/>
      <c r="N92" s="136"/>
      <c r="O92" s="42"/>
      <c r="P92" s="73"/>
      <c r="Q92" s="42">
        <f>(K92+O92+P92)+'WK21'!Q92+'WK22'!Q92+'WK23'!Q92</f>
        <v>2586.6549</v>
      </c>
      <c r="R92" s="271" t="s">
        <v>254</v>
      </c>
      <c r="S92" s="241" t="s">
        <v>431</v>
      </c>
      <c r="U92" s="343"/>
    </row>
    <row r="93" spans="2:21" s="87" customFormat="1" ht="15" customHeight="1">
      <c r="B93" s="172">
        <f>Periode!B93</f>
        <v>0</v>
      </c>
      <c r="C93" s="172">
        <f>Periode!H93</f>
        <v>0</v>
      </c>
      <c r="D93" s="61"/>
      <c r="E93" s="60"/>
      <c r="F93" s="60"/>
      <c r="G93" s="60"/>
      <c r="H93" s="60"/>
      <c r="I93" s="60"/>
      <c r="J93" s="60"/>
      <c r="K93" s="89"/>
      <c r="L93" s="132"/>
      <c r="M93" s="61"/>
      <c r="N93" s="61"/>
      <c r="O93" s="42"/>
      <c r="P93" s="73"/>
      <c r="Q93" s="90"/>
      <c r="R93" s="271" t="s">
        <v>541</v>
      </c>
      <c r="S93" s="387"/>
      <c r="U93" s="409"/>
    </row>
    <row r="94" spans="2:21" s="87" customFormat="1" ht="15" customHeight="1">
      <c r="B94" s="172">
        <f>Periode!B94</f>
        <v>0</v>
      </c>
      <c r="C94" s="172">
        <f>Periode!H94</f>
        <v>0</v>
      </c>
      <c r="D94" s="61"/>
      <c r="E94" s="60"/>
      <c r="F94" s="60"/>
      <c r="G94" s="60"/>
      <c r="H94" s="60"/>
      <c r="I94" s="60"/>
      <c r="J94" s="60"/>
      <c r="K94" s="89"/>
      <c r="L94" s="132"/>
      <c r="M94" s="61"/>
      <c r="N94" s="61"/>
      <c r="O94" s="42"/>
      <c r="P94" s="705"/>
      <c r="Q94" s="705"/>
      <c r="R94" s="1244" t="s">
        <v>542</v>
      </c>
      <c r="S94" s="387"/>
      <c r="U94" s="409"/>
    </row>
    <row r="95" spans="2:21" s="91" customFormat="1" ht="15" customHeight="1">
      <c r="B95" s="5"/>
      <c r="C95" s="5"/>
      <c r="D95" s="61"/>
      <c r="E95" s="60"/>
      <c r="F95" s="60"/>
      <c r="G95" s="60"/>
      <c r="H95" s="235"/>
      <c r="I95" s="235"/>
      <c r="J95" s="60"/>
      <c r="K95" s="106"/>
      <c r="L95" s="132"/>
      <c r="M95" s="136"/>
      <c r="N95" s="136"/>
      <c r="O95" s="42"/>
      <c r="P95" s="73"/>
      <c r="Q95" s="42"/>
      <c r="R95" s="347"/>
      <c r="S95" s="241"/>
      <c r="U95" s="343"/>
    </row>
    <row r="96" spans="2:21" s="87" customFormat="1" ht="15" customHeight="1">
      <c r="B96" s="172">
        <f>Periode!B96</f>
        <v>0</v>
      </c>
      <c r="C96" s="172">
        <f>Periode!H96</f>
        <v>0</v>
      </c>
      <c r="D96" s="61"/>
      <c r="E96" s="60"/>
      <c r="F96" s="60"/>
      <c r="G96" s="60"/>
      <c r="H96" s="60"/>
      <c r="I96" s="60"/>
      <c r="J96" s="60"/>
      <c r="K96" s="106"/>
      <c r="L96" s="132"/>
      <c r="M96" s="61"/>
      <c r="N96" s="61"/>
      <c r="O96" s="42"/>
      <c r="P96" s="73"/>
      <c r="Q96" s="90"/>
      <c r="R96" s="271"/>
      <c r="S96" s="387"/>
      <c r="U96" s="409"/>
    </row>
    <row r="97" spans="2:21" s="87" customFormat="1" ht="15" customHeight="1">
      <c r="B97" s="172">
        <f>Periode!B97</f>
        <v>0</v>
      </c>
      <c r="C97" s="172">
        <f>Periode!H97</f>
        <v>0</v>
      </c>
      <c r="D97" s="61"/>
      <c r="E97" s="60"/>
      <c r="F97" s="60"/>
      <c r="G97" s="60"/>
      <c r="H97" s="60"/>
      <c r="I97" s="60"/>
      <c r="J97" s="60"/>
      <c r="K97" s="89"/>
      <c r="L97" s="132"/>
      <c r="M97" s="61"/>
      <c r="N97" s="61"/>
      <c r="O97" s="42"/>
      <c r="P97" s="73"/>
      <c r="Q97" s="90"/>
      <c r="R97" s="271"/>
      <c r="S97" s="387"/>
      <c r="U97" s="409"/>
    </row>
    <row r="98" spans="2:21" s="246" customFormat="1" ht="15" customHeight="1">
      <c r="B98" s="242"/>
      <c r="C98" s="242"/>
      <c r="D98" s="243"/>
      <c r="E98" s="406"/>
      <c r="F98" s="406"/>
      <c r="G98" s="406"/>
      <c r="H98" s="406"/>
      <c r="I98" s="406"/>
      <c r="J98" s="406"/>
      <c r="K98" s="244"/>
      <c r="L98" s="243"/>
      <c r="M98" s="243"/>
      <c r="N98" s="243"/>
      <c r="O98" s="245"/>
      <c r="P98" s="245"/>
      <c r="Q98" s="245"/>
      <c r="R98" s="820"/>
      <c r="S98" s="277"/>
      <c r="U98" s="412"/>
    </row>
    <row r="99" spans="2:21" s="91" customFormat="1" ht="15" customHeight="1">
      <c r="B99" s="5" t="str">
        <f>Periode!B99</f>
        <v>Eric de Jong</v>
      </c>
      <c r="C99" s="5" t="str">
        <f>Periode!G99</f>
        <v>0</v>
      </c>
      <c r="D99" s="61">
        <v>5</v>
      </c>
      <c r="E99" s="60">
        <v>36.5</v>
      </c>
      <c r="F99" s="60"/>
      <c r="G99" s="60"/>
      <c r="H99" s="60"/>
      <c r="I99" s="235"/>
      <c r="J99" s="60"/>
      <c r="K99" s="106">
        <f>(Periode!BB99*E99/40)+((F99+H99+I99)*Periode!BD99/40)+(J99*Periode!BF99/40)+(G99*Periode!BE99/40)</f>
        <v>846.80912499999999</v>
      </c>
      <c r="L99" s="132">
        <v>47</v>
      </c>
      <c r="M99" s="136"/>
      <c r="N99" s="136">
        <f>(L99*D99*2)+M99</f>
        <v>470</v>
      </c>
      <c r="O99" s="1235">
        <f>((L99*2*D99)+M99)*0.23</f>
        <v>108.10000000000001</v>
      </c>
      <c r="P99" s="73"/>
      <c r="Q99" s="42">
        <f>K99+O99+P99</f>
        <v>954.90912500000002</v>
      </c>
      <c r="R99" s="271" t="s">
        <v>535</v>
      </c>
      <c r="S99" s="241" t="s">
        <v>409</v>
      </c>
      <c r="U99" s="343"/>
    </row>
    <row r="100" spans="2:21" s="87" customFormat="1" ht="15" customHeight="1">
      <c r="B100" s="172"/>
      <c r="C100" s="172"/>
      <c r="D100" s="61"/>
      <c r="E100" s="60"/>
      <c r="F100" s="60"/>
      <c r="G100" s="60"/>
      <c r="H100" s="60"/>
      <c r="I100" s="60"/>
      <c r="J100" s="60"/>
      <c r="K100" s="89"/>
      <c r="L100" s="132"/>
      <c r="M100" s="61"/>
      <c r="N100" s="61"/>
      <c r="O100" s="42"/>
      <c r="P100" s="73"/>
      <c r="Q100" s="90"/>
      <c r="R100" s="832"/>
      <c r="S100" s="675"/>
      <c r="U100" s="409"/>
    </row>
    <row r="101" spans="2:21" s="91" customFormat="1" ht="15" customHeight="1">
      <c r="B101" s="5"/>
      <c r="C101" s="5"/>
      <c r="D101" s="61"/>
      <c r="E101" s="60"/>
      <c r="F101" s="60"/>
      <c r="G101" s="60"/>
      <c r="H101" s="60"/>
      <c r="I101" s="60"/>
      <c r="J101" s="60"/>
      <c r="K101" s="106"/>
      <c r="L101" s="132"/>
      <c r="M101" s="136"/>
      <c r="N101" s="136"/>
      <c r="O101" s="42"/>
      <c r="P101" s="73"/>
      <c r="Q101" s="42"/>
      <c r="R101" s="918"/>
      <c r="S101" s="241"/>
      <c r="U101" s="343"/>
    </row>
    <row r="102" spans="2:21" s="87" customFormat="1" ht="15" customHeight="1">
      <c r="B102" s="172"/>
      <c r="C102" s="172"/>
      <c r="D102" s="61"/>
      <c r="E102" s="60"/>
      <c r="F102" s="60"/>
      <c r="G102" s="60"/>
      <c r="H102" s="60"/>
      <c r="I102" s="60"/>
      <c r="J102" s="60"/>
      <c r="K102" s="89"/>
      <c r="L102" s="132"/>
      <c r="M102" s="61"/>
      <c r="N102" s="61"/>
      <c r="O102" s="42"/>
      <c r="P102" s="73"/>
      <c r="Q102" s="90"/>
      <c r="R102" s="828"/>
      <c r="S102" s="387"/>
      <c r="U102" s="409"/>
    </row>
    <row r="103" spans="2:21" s="87" customFormat="1" ht="15" customHeight="1">
      <c r="B103" s="172">
        <f>Periode!B103</f>
        <v>0</v>
      </c>
      <c r="C103" s="172">
        <f>Periode!H103</f>
        <v>0</v>
      </c>
      <c r="D103" s="61"/>
      <c r="E103" s="60"/>
      <c r="F103" s="60"/>
      <c r="G103" s="60"/>
      <c r="H103" s="60"/>
      <c r="I103" s="60"/>
      <c r="J103" s="60"/>
      <c r="K103" s="89"/>
      <c r="L103" s="132"/>
      <c r="M103" s="61"/>
      <c r="N103" s="61"/>
      <c r="O103" s="42"/>
      <c r="P103" s="705"/>
      <c r="Q103" s="705"/>
      <c r="R103" s="833"/>
      <c r="S103" s="387"/>
      <c r="U103" s="409"/>
    </row>
    <row r="104" spans="2:21" s="91" customFormat="1" ht="15" customHeight="1">
      <c r="B104" s="5" t="str">
        <f>Periode!B104</f>
        <v>Michel van der Mark</v>
      </c>
      <c r="C104" s="5" t="str">
        <f>Periode!G104</f>
        <v>32 (4wk)</v>
      </c>
      <c r="D104" s="61">
        <v>5</v>
      </c>
      <c r="E104" s="60">
        <v>40</v>
      </c>
      <c r="F104" s="60"/>
      <c r="G104" s="60"/>
      <c r="H104" s="60"/>
      <c r="I104" s="60"/>
      <c r="J104" s="60"/>
      <c r="K104" s="106">
        <f>(Periode!BB104*E104/40)+((F104+H104+I104)*Periode!BD104/40)+(J104*Periode!BF104/40)+(G104*Periode!BE104/40)</f>
        <v>705.18</v>
      </c>
      <c r="L104" s="132"/>
      <c r="M104" s="136"/>
      <c r="N104" s="136"/>
      <c r="O104" s="42"/>
      <c r="P104" s="73"/>
      <c r="Q104" s="42">
        <f>K104+O104+P104</f>
        <v>705.18</v>
      </c>
      <c r="R104" s="271"/>
      <c r="S104" s="241" t="s">
        <v>209</v>
      </c>
      <c r="U104" s="343"/>
    </row>
    <row r="105" spans="2:21" s="87" customFormat="1" ht="15" customHeight="1">
      <c r="B105" s="172">
        <f>Periode!B105</f>
        <v>0</v>
      </c>
      <c r="C105" s="172">
        <f>Periode!H105</f>
        <v>0</v>
      </c>
      <c r="D105" s="61"/>
      <c r="E105" s="60"/>
      <c r="F105" s="60"/>
      <c r="G105" s="60"/>
      <c r="H105" s="60"/>
      <c r="I105" s="60"/>
      <c r="J105" s="60"/>
      <c r="K105" s="89"/>
      <c r="L105" s="132"/>
      <c r="M105" s="61"/>
      <c r="N105" s="61"/>
      <c r="O105" s="42"/>
      <c r="P105" s="73"/>
      <c r="Q105" s="90"/>
      <c r="R105" s="271"/>
      <c r="S105" s="387"/>
      <c r="U105" s="409"/>
    </row>
    <row r="106" spans="2:21" s="87" customFormat="1" ht="15" customHeight="1">
      <c r="B106" s="172">
        <f>Periode!B106</f>
        <v>0</v>
      </c>
      <c r="C106" s="172">
        <f>Periode!H106</f>
        <v>0</v>
      </c>
      <c r="D106" s="61"/>
      <c r="E106" s="60"/>
      <c r="F106" s="60"/>
      <c r="G106" s="60"/>
      <c r="H106" s="60"/>
      <c r="I106" s="60"/>
      <c r="J106" s="60"/>
      <c r="K106" s="89"/>
      <c r="L106" s="132"/>
      <c r="M106" s="61"/>
      <c r="N106" s="61"/>
      <c r="O106" s="42"/>
      <c r="P106" s="73"/>
      <c r="Q106" s="90"/>
      <c r="R106" s="271"/>
      <c r="S106" s="387"/>
      <c r="U106" s="409"/>
    </row>
    <row r="107" spans="2:21" s="91" customFormat="1" ht="15" customHeight="1">
      <c r="B107" s="5"/>
      <c r="C107" s="5"/>
      <c r="D107" s="61"/>
      <c r="E107" s="60"/>
      <c r="F107" s="60"/>
      <c r="G107" s="60"/>
      <c r="H107" s="60"/>
      <c r="I107" s="60"/>
      <c r="J107" s="60"/>
      <c r="K107" s="106"/>
      <c r="L107" s="132"/>
      <c r="M107" s="136"/>
      <c r="N107" s="136"/>
      <c r="O107" s="42"/>
      <c r="P107" s="73"/>
      <c r="Q107" s="42"/>
      <c r="R107" s="271"/>
      <c r="S107" s="241"/>
      <c r="U107" s="343"/>
    </row>
    <row r="108" spans="2:21" s="87" customFormat="1" ht="15" customHeight="1">
      <c r="B108" s="172">
        <f>Periode!B108</f>
        <v>0</v>
      </c>
      <c r="C108" s="172">
        <f>Periode!H108</f>
        <v>0</v>
      </c>
      <c r="D108" s="61"/>
      <c r="E108" s="60"/>
      <c r="F108" s="60"/>
      <c r="G108" s="60"/>
      <c r="H108" s="60"/>
      <c r="I108" s="60"/>
      <c r="J108" s="60"/>
      <c r="K108" s="89"/>
      <c r="L108" s="132"/>
      <c r="M108" s="61"/>
      <c r="N108" s="61"/>
      <c r="O108" s="42"/>
      <c r="P108" s="73"/>
      <c r="Q108" s="90"/>
      <c r="R108" s="271"/>
      <c r="S108" s="387"/>
      <c r="U108" s="409"/>
    </row>
    <row r="109" spans="2:21" s="87" customFormat="1" ht="15" customHeight="1">
      <c r="B109" s="172">
        <f>Periode!B109</f>
        <v>0</v>
      </c>
      <c r="C109" s="172">
        <f>Periode!H109</f>
        <v>0</v>
      </c>
      <c r="D109" s="61"/>
      <c r="E109" s="60"/>
      <c r="F109" s="60"/>
      <c r="G109" s="60"/>
      <c r="H109" s="60"/>
      <c r="I109" s="60"/>
      <c r="J109" s="60"/>
      <c r="K109" s="89"/>
      <c r="L109" s="132"/>
      <c r="M109" s="61"/>
      <c r="N109" s="61"/>
      <c r="O109" s="42"/>
      <c r="P109" s="73"/>
      <c r="Q109" s="90"/>
      <c r="R109" s="703"/>
      <c r="S109" s="387"/>
      <c r="U109" s="409"/>
    </row>
    <row r="110" spans="2:21" s="91" customFormat="1" ht="15" customHeight="1">
      <c r="B110" s="5" t="str">
        <f>Periode!B110</f>
        <v>Jan Harteveld</v>
      </c>
      <c r="C110" s="5" t="str">
        <f>Periode!G110</f>
        <v>150 (4wk)</v>
      </c>
      <c r="D110" s="61">
        <v>5</v>
      </c>
      <c r="E110" s="60">
        <v>37.5</v>
      </c>
      <c r="F110" s="60"/>
      <c r="G110" s="60"/>
      <c r="H110" s="60"/>
      <c r="I110" s="60"/>
      <c r="J110" s="60"/>
      <c r="K110" s="106">
        <f>(Periode!BB110*E110/40)+((F110+H110+I110)*Periode!BD110/40)+(J110*Periode!BF110/40)+(G110*Periode!BE110/40)</f>
        <v>743.76562499999989</v>
      </c>
      <c r="L110" s="132">
        <v>14</v>
      </c>
      <c r="M110" s="136"/>
      <c r="N110" s="136">
        <f>(L110*D110*2)+M110</f>
        <v>140</v>
      </c>
      <c r="O110" s="561">
        <f>((L110*2*D110)+M110)*0.25</f>
        <v>35</v>
      </c>
      <c r="P110" s="73"/>
      <c r="Q110" s="42">
        <f>K110+O110+P110</f>
        <v>778.76562499999989</v>
      </c>
      <c r="R110" s="275" t="s">
        <v>511</v>
      </c>
      <c r="S110" s="241" t="s">
        <v>513</v>
      </c>
      <c r="U110" s="343"/>
    </row>
    <row r="111" spans="2:21" s="87" customFormat="1" ht="15" customHeight="1">
      <c r="B111" s="172">
        <f>Periode!B111</f>
        <v>0</v>
      </c>
      <c r="C111" s="172">
        <f>Periode!H111</f>
        <v>0</v>
      </c>
      <c r="D111" s="61"/>
      <c r="E111" s="60"/>
      <c r="F111" s="60"/>
      <c r="G111" s="60"/>
      <c r="H111" s="60"/>
      <c r="I111" s="60"/>
      <c r="J111" s="60"/>
      <c r="K111" s="89"/>
      <c r="L111" s="132"/>
      <c r="M111" s="61"/>
      <c r="N111" s="61"/>
      <c r="O111" s="42"/>
      <c r="P111" s="73"/>
      <c r="Q111" s="90"/>
      <c r="R111" s="271"/>
      <c r="S111" s="387"/>
      <c r="U111" s="409"/>
    </row>
    <row r="112" spans="2:21" s="87" customFormat="1" ht="15" customHeight="1">
      <c r="B112" s="172">
        <f>Periode!B112</f>
        <v>0</v>
      </c>
      <c r="C112" s="172">
        <f>Periode!H112</f>
        <v>0</v>
      </c>
      <c r="D112" s="61"/>
      <c r="E112" s="60"/>
      <c r="F112" s="60"/>
      <c r="G112" s="60"/>
      <c r="H112" s="60"/>
      <c r="I112" s="60"/>
      <c r="J112" s="60"/>
      <c r="K112" s="89"/>
      <c r="L112" s="132"/>
      <c r="M112" s="61"/>
      <c r="N112" s="61"/>
      <c r="O112" s="42"/>
      <c r="P112" s="73"/>
      <c r="Q112" s="90"/>
      <c r="R112" s="271"/>
      <c r="S112" s="387"/>
      <c r="U112" s="409"/>
    </row>
    <row r="113" spans="2:21" s="91" customFormat="1" ht="15" customHeight="1">
      <c r="B113" s="5"/>
      <c r="C113" s="5"/>
      <c r="D113" s="61"/>
      <c r="E113" s="60"/>
      <c r="F113" s="60"/>
      <c r="G113" s="60"/>
      <c r="H113" s="60"/>
      <c r="I113" s="60"/>
      <c r="J113" s="60"/>
      <c r="K113" s="106"/>
      <c r="L113" s="132"/>
      <c r="M113" s="136"/>
      <c r="N113" s="136"/>
      <c r="O113" s="42"/>
      <c r="P113" s="73"/>
      <c r="Q113" s="42"/>
      <c r="R113" s="271"/>
      <c r="S113" s="241"/>
      <c r="U113" s="343"/>
    </row>
    <row r="114" spans="2:21" s="87" customFormat="1" ht="15" customHeight="1">
      <c r="B114" s="172">
        <f>Periode!B114</f>
        <v>0</v>
      </c>
      <c r="C114" s="172">
        <f>Periode!H114</f>
        <v>0</v>
      </c>
      <c r="D114" s="61"/>
      <c r="E114" s="60"/>
      <c r="F114" s="60"/>
      <c r="G114" s="60"/>
      <c r="H114" s="60"/>
      <c r="I114" s="60"/>
      <c r="J114" s="60"/>
      <c r="K114" s="89"/>
      <c r="L114" s="132"/>
      <c r="M114" s="61"/>
      <c r="N114" s="61"/>
      <c r="O114" s="42"/>
      <c r="P114" s="73"/>
      <c r="Q114" s="90"/>
      <c r="R114" s="271"/>
      <c r="S114" s="387"/>
      <c r="U114" s="409"/>
    </row>
    <row r="115" spans="2:21" s="87" customFormat="1" ht="15" customHeight="1">
      <c r="B115" s="172">
        <f>Periode!B115</f>
        <v>0</v>
      </c>
      <c r="C115" s="172">
        <f>Periode!H115</f>
        <v>0</v>
      </c>
      <c r="D115" s="61"/>
      <c r="E115" s="60"/>
      <c r="F115" s="60"/>
      <c r="G115" s="60"/>
      <c r="H115" s="60"/>
      <c r="I115" s="60"/>
      <c r="J115" s="60"/>
      <c r="K115" s="89"/>
      <c r="L115" s="132"/>
      <c r="M115" s="61"/>
      <c r="N115" s="61"/>
      <c r="O115" s="42"/>
      <c r="P115" s="73"/>
      <c r="Q115" s="90"/>
      <c r="R115" s="271"/>
      <c r="S115" s="387"/>
      <c r="U115" s="409"/>
    </row>
    <row r="116" spans="2:21" s="91" customFormat="1" ht="15" customHeight="1">
      <c r="B116" s="1149" t="str">
        <f>Periode!B116</f>
        <v>Asanty Raafenberg</v>
      </c>
      <c r="C116" s="5" t="str">
        <f>Periode!G116</f>
        <v>0</v>
      </c>
      <c r="D116" s="61">
        <v>5</v>
      </c>
      <c r="E116" s="60">
        <v>40</v>
      </c>
      <c r="F116" s="60"/>
      <c r="G116" s="60"/>
      <c r="H116" s="60"/>
      <c r="I116" s="60"/>
      <c r="J116" s="60"/>
      <c r="K116" s="106">
        <f>(Periode!BB116*E116/40)+((F116+H116+I116)*Periode!BD116/40)+(J116*Periode!BF116/40)+(G116*Periode!BE116/40)</f>
        <v>660.28</v>
      </c>
      <c r="L116" s="132"/>
      <c r="M116" s="136"/>
      <c r="N116" s="136"/>
      <c r="O116" s="42"/>
      <c r="P116" s="73"/>
      <c r="Q116" s="42">
        <f>(K116+O116+P116)+'WK21'!Q116+'WK22'!Q116+'WK23'!Q116</f>
        <v>2028.5180399999999</v>
      </c>
      <c r="R116" s="271" t="s">
        <v>254</v>
      </c>
      <c r="S116" s="241" t="s">
        <v>225</v>
      </c>
      <c r="U116" s="343"/>
    </row>
    <row r="117" spans="2:21" s="91" customFormat="1" ht="15" customHeight="1">
      <c r="B117" s="242">
        <f>Periode!B117</f>
        <v>0</v>
      </c>
      <c r="C117" s="242">
        <f>Periode!G117</f>
        <v>0</v>
      </c>
      <c r="D117" s="61"/>
      <c r="E117" s="60"/>
      <c r="F117" s="60"/>
      <c r="G117" s="60"/>
      <c r="H117" s="60"/>
      <c r="I117" s="60"/>
      <c r="J117" s="60"/>
      <c r="K117" s="244"/>
      <c r="L117" s="243">
        <v>16</v>
      </c>
      <c r="M117" s="243"/>
      <c r="N117" s="243">
        <f>(L117*D117*2)+M117</f>
        <v>0</v>
      </c>
      <c r="O117" s="245"/>
      <c r="P117" s="245"/>
      <c r="Q117" s="245"/>
      <c r="R117" s="271"/>
      <c r="S117" s="241"/>
      <c r="U117" s="343"/>
    </row>
    <row r="118" spans="2:21" s="87" customFormat="1" ht="15" customHeight="1">
      <c r="B118" s="172">
        <f>Periode!B118</f>
        <v>0</v>
      </c>
      <c r="C118" s="172">
        <f>Periode!H118</f>
        <v>0</v>
      </c>
      <c r="D118" s="61"/>
      <c r="E118" s="60"/>
      <c r="F118" s="60"/>
      <c r="G118" s="60"/>
      <c r="H118" s="60"/>
      <c r="I118" s="60"/>
      <c r="J118" s="60"/>
      <c r="K118" s="89"/>
      <c r="L118" s="132"/>
      <c r="M118" s="61"/>
      <c r="N118" s="61"/>
      <c r="O118" s="42"/>
      <c r="P118" s="876"/>
      <c r="Q118" s="705"/>
      <c r="R118" s="271"/>
      <c r="S118" s="387"/>
      <c r="U118" s="409"/>
    </row>
    <row r="119" spans="2:21" s="91" customFormat="1" ht="15" customHeight="1">
      <c r="B119" s="5" t="str">
        <f>Periode!B119</f>
        <v>Patrick Serlier</v>
      </c>
      <c r="C119" s="5" t="str">
        <f>Periode!G119</f>
        <v>32 (4wk)</v>
      </c>
      <c r="D119" s="61">
        <v>5</v>
      </c>
      <c r="E119" s="60">
        <v>39</v>
      </c>
      <c r="F119" s="60"/>
      <c r="G119" s="60"/>
      <c r="H119" s="60"/>
      <c r="I119" s="60"/>
      <c r="J119" s="60"/>
      <c r="K119" s="106">
        <f>(Periode!BB119*E119/40)+((F119+H119+I119)*Periode!BD119/40)+(J119*Periode!BF119/40)+(G119*Periode!BE119/40)</f>
        <v>658.58325000000002</v>
      </c>
      <c r="L119" s="132"/>
      <c r="M119" s="136"/>
      <c r="N119" s="136"/>
      <c r="O119" s="42"/>
      <c r="P119" s="73"/>
      <c r="Q119" s="42">
        <f>K119+O119+P119</f>
        <v>658.58325000000002</v>
      </c>
      <c r="R119" s="271" t="s">
        <v>536</v>
      </c>
      <c r="S119" s="241" t="s">
        <v>231</v>
      </c>
      <c r="U119" s="343"/>
    </row>
    <row r="120" spans="2:21" s="87" customFormat="1" ht="15" customHeight="1">
      <c r="B120" s="172">
        <f>Periode!B120</f>
        <v>0</v>
      </c>
      <c r="C120" s="172">
        <f>Periode!H120</f>
        <v>0</v>
      </c>
      <c r="D120" s="61"/>
      <c r="E120" s="60"/>
      <c r="F120" s="60"/>
      <c r="G120" s="60"/>
      <c r="H120" s="60"/>
      <c r="I120" s="60"/>
      <c r="J120" s="60"/>
      <c r="K120" s="89"/>
      <c r="L120" s="132"/>
      <c r="M120" s="61"/>
      <c r="N120" s="61"/>
      <c r="O120" s="42"/>
      <c r="P120" s="73"/>
      <c r="Q120" s="90"/>
      <c r="R120" s="271"/>
      <c r="S120" s="387"/>
      <c r="U120" s="409"/>
    </row>
    <row r="121" spans="2:21" s="87" customFormat="1" ht="15" customHeight="1">
      <c r="B121" s="172">
        <f>Periode!B121</f>
        <v>0</v>
      </c>
      <c r="C121" s="172">
        <f>Periode!H121</f>
        <v>0</v>
      </c>
      <c r="D121" s="61"/>
      <c r="E121" s="60"/>
      <c r="F121" s="60"/>
      <c r="G121" s="60"/>
      <c r="H121" s="60"/>
      <c r="I121" s="60"/>
      <c r="J121" s="60"/>
      <c r="K121" s="89"/>
      <c r="L121" s="132"/>
      <c r="M121" s="61"/>
      <c r="N121" s="61"/>
      <c r="O121" s="42"/>
      <c r="P121" s="73"/>
      <c r="Q121" s="90"/>
      <c r="R121" s="271"/>
      <c r="S121" s="387"/>
      <c r="U121" s="409"/>
    </row>
    <row r="122" spans="2:21" s="87" customFormat="1" ht="15" customHeight="1">
      <c r="B122" s="172">
        <f>Periode!B122</f>
        <v>0</v>
      </c>
      <c r="C122" s="172">
        <f>Periode!H122</f>
        <v>0</v>
      </c>
      <c r="D122" s="61"/>
      <c r="E122" s="60"/>
      <c r="F122" s="60"/>
      <c r="G122" s="60"/>
      <c r="H122" s="60"/>
      <c r="I122" s="60"/>
      <c r="J122" s="60"/>
      <c r="K122" s="89"/>
      <c r="L122" s="132"/>
      <c r="M122" s="61"/>
      <c r="N122" s="61"/>
      <c r="O122" s="42"/>
      <c r="P122" s="73"/>
      <c r="Q122" s="90"/>
      <c r="R122" s="271"/>
      <c r="S122" s="387"/>
      <c r="U122" s="409"/>
    </row>
    <row r="123" spans="2:21" s="91" customFormat="1" ht="15" customHeight="1">
      <c r="B123" s="5" t="str">
        <f>Periode!B123</f>
        <v>Pieter van Houwelingen</v>
      </c>
      <c r="C123" s="5" t="str">
        <f>Periode!G123</f>
        <v>32 (4wk)</v>
      </c>
      <c r="D123" s="61">
        <v>5</v>
      </c>
      <c r="E123" s="60">
        <v>38</v>
      </c>
      <c r="F123" s="60"/>
      <c r="G123" s="60"/>
      <c r="H123" s="60"/>
      <c r="I123" s="60"/>
      <c r="J123" s="60"/>
      <c r="K123" s="106">
        <f>(Periode!BB123*E123/40)+((F123+H123+I123)*Periode!BD123/40)+(J123*Periode!BF123/40)+(G123*Periode!BE123/40)</f>
        <v>998.29325000000006</v>
      </c>
      <c r="L123" s="704">
        <v>32.5</v>
      </c>
      <c r="M123" s="136"/>
      <c r="N123" s="136">
        <f>(L123*D123*2)+M123</f>
        <v>325</v>
      </c>
      <c r="O123" s="561">
        <f>((L123*2*D123)+M123)*0.25</f>
        <v>81.25</v>
      </c>
      <c r="P123" s="73"/>
      <c r="Q123" s="42">
        <f>K123+O123+P123</f>
        <v>1079.5432500000002</v>
      </c>
      <c r="R123" s="271" t="s">
        <v>459</v>
      </c>
      <c r="S123" s="241" t="s">
        <v>197</v>
      </c>
      <c r="U123" s="343"/>
    </row>
    <row r="124" spans="2:21" s="87" customFormat="1" ht="15" customHeight="1">
      <c r="B124" s="172">
        <f>Periode!B124</f>
        <v>0</v>
      </c>
      <c r="C124" s="172">
        <f>Periode!H124</f>
        <v>0</v>
      </c>
      <c r="D124" s="61"/>
      <c r="E124" s="60"/>
      <c r="F124" s="60"/>
      <c r="G124" s="60"/>
      <c r="H124" s="60"/>
      <c r="I124" s="60"/>
      <c r="J124" s="60"/>
      <c r="K124" s="89"/>
      <c r="L124" s="132"/>
      <c r="M124" s="61"/>
      <c r="N124" s="61"/>
      <c r="O124" s="42"/>
      <c r="P124" s="705"/>
      <c r="Q124" s="705"/>
      <c r="R124" s="347"/>
      <c r="S124" s="387"/>
      <c r="U124" s="409"/>
    </row>
    <row r="125" spans="2:21" s="91" customFormat="1" ht="15" customHeight="1">
      <c r="B125" s="1149" t="str">
        <f>Periode!B125</f>
        <v>John van der Wel</v>
      </c>
      <c r="C125" s="5">
        <f>Periode!G125</f>
        <v>0</v>
      </c>
      <c r="D125" s="61">
        <v>5</v>
      </c>
      <c r="E125" s="60">
        <v>40</v>
      </c>
      <c r="F125" s="60"/>
      <c r="G125" s="235"/>
      <c r="H125" s="235"/>
      <c r="I125" s="235"/>
      <c r="J125" s="60"/>
      <c r="K125" s="106">
        <f>(Periode!BB125*E125/40)+((F125+H125+I125)*Periode!BD125/40)+(J125*Periode!BF125/40)+(G125*Periode!BE125/40)</f>
        <v>645.98</v>
      </c>
      <c r="L125" s="704"/>
      <c r="M125" s="136"/>
      <c r="N125" s="136"/>
      <c r="O125" s="42"/>
      <c r="P125" s="73">
        <v>-65.06</v>
      </c>
      <c r="Q125" s="43">
        <f>K125+O125+P125</f>
        <v>580.92000000000007</v>
      </c>
      <c r="R125" s="722"/>
      <c r="S125" s="241" t="s">
        <v>451</v>
      </c>
      <c r="U125" s="343"/>
    </row>
    <row r="126" spans="2:21" s="91" customFormat="1" ht="15" customHeight="1">
      <c r="B126" s="5"/>
      <c r="C126" s="5"/>
      <c r="D126" s="61"/>
      <c r="E126" s="60"/>
      <c r="F126" s="60"/>
      <c r="G126" s="60"/>
      <c r="H126" s="235"/>
      <c r="I126" s="235"/>
      <c r="J126" s="60"/>
      <c r="K126" s="106"/>
      <c r="L126" s="132"/>
      <c r="M126" s="136"/>
      <c r="N126" s="136"/>
      <c r="O126" s="42"/>
      <c r="P126" s="73"/>
      <c r="Q126" s="42"/>
      <c r="R126" s="722" t="s">
        <v>478</v>
      </c>
      <c r="S126" s="241"/>
      <c r="U126" s="343"/>
    </row>
    <row r="127" spans="2:21" s="87" customFormat="1" ht="15" customHeight="1">
      <c r="B127" s="172">
        <f>Periode!B127</f>
        <v>0</v>
      </c>
      <c r="C127" s="172">
        <f>Periode!H127</f>
        <v>0</v>
      </c>
      <c r="D127" s="61"/>
      <c r="E127" s="60"/>
      <c r="F127" s="60"/>
      <c r="G127" s="60"/>
      <c r="H127" s="60"/>
      <c r="I127" s="60"/>
      <c r="J127" s="60"/>
      <c r="K127" s="89"/>
      <c r="L127" s="132"/>
      <c r="M127" s="61"/>
      <c r="N127" s="61"/>
      <c r="O127" s="42"/>
      <c r="P127" s="73"/>
      <c r="Q127" s="90"/>
      <c r="R127" s="347"/>
      <c r="S127" s="387"/>
      <c r="U127" s="409"/>
    </row>
    <row r="128" spans="2:21" s="87" customFormat="1" ht="15" customHeight="1">
      <c r="B128" s="172">
        <f>Periode!B128</f>
        <v>0</v>
      </c>
      <c r="C128" s="172">
        <f>Periode!H128</f>
        <v>0</v>
      </c>
      <c r="D128" s="61"/>
      <c r="E128" s="60"/>
      <c r="F128" s="60"/>
      <c r="G128" s="60"/>
      <c r="H128" s="60"/>
      <c r="I128" s="60"/>
      <c r="J128" s="60"/>
      <c r="K128" s="89"/>
      <c r="L128" s="132"/>
      <c r="M128" s="61"/>
      <c r="N128" s="61"/>
      <c r="O128" s="42"/>
      <c r="P128" s="73"/>
      <c r="Q128" s="90"/>
      <c r="R128" s="271"/>
      <c r="S128" s="387"/>
      <c r="U128" s="409"/>
    </row>
    <row r="129" spans="2:25" s="91" customFormat="1" ht="15" customHeight="1">
      <c r="B129" s="5" t="str">
        <f>Periode!B129</f>
        <v>Marcel Spruijt</v>
      </c>
      <c r="C129" s="5" t="str">
        <f>Periode!G129</f>
        <v>32 (4wk)</v>
      </c>
      <c r="D129" s="61">
        <v>5</v>
      </c>
      <c r="E129" s="60">
        <v>40</v>
      </c>
      <c r="F129" s="60"/>
      <c r="G129" s="60"/>
      <c r="H129" s="60"/>
      <c r="I129" s="60"/>
      <c r="J129" s="60"/>
      <c r="K129" s="106">
        <f>(Periode!BB129*E129/40)+((F129+H129+I129)*Periode!BD129/40)+(J129*Periode!BF129/40)+(G129*Periode!BE129/40)</f>
        <v>751.94</v>
      </c>
      <c r="L129" s="132"/>
      <c r="M129" s="136"/>
      <c r="N129" s="136"/>
      <c r="O129" s="42"/>
      <c r="P129" s="73"/>
      <c r="Q129" s="29">
        <f>K129+O129+P129</f>
        <v>751.94</v>
      </c>
      <c r="R129" s="271"/>
      <c r="S129" s="241" t="s">
        <v>187</v>
      </c>
      <c r="U129" s="343"/>
    </row>
    <row r="130" spans="2:25">
      <c r="P130" s="705"/>
      <c r="Q130" s="882"/>
    </row>
    <row r="131" spans="2:25" s="91" customFormat="1" ht="15" customHeight="1">
      <c r="B131" s="1149" t="str">
        <f>Periode!B131</f>
        <v>Michael Windhorst</v>
      </c>
      <c r="C131" s="5" t="str">
        <f>Periode!G131</f>
        <v>0</v>
      </c>
      <c r="D131" s="61">
        <v>5</v>
      </c>
      <c r="E131" s="60">
        <v>40</v>
      </c>
      <c r="F131" s="60"/>
      <c r="G131" s="235"/>
      <c r="H131" s="235"/>
      <c r="I131" s="235"/>
      <c r="J131" s="60"/>
      <c r="K131" s="106">
        <f>(Periode!BB131*E131/40)+((F131+H131+I131)*Periode!BD131/40)+(J131*Periode!BF131/40)+(G131*Periode!BE131/40)</f>
        <v>628</v>
      </c>
      <c r="L131" s="132"/>
      <c r="M131" s="136"/>
      <c r="N131" s="136"/>
      <c r="O131" s="42"/>
      <c r="P131" s="73"/>
      <c r="Q131" s="29">
        <f>K131+O131+P131</f>
        <v>628</v>
      </c>
      <c r="R131" s="271"/>
      <c r="S131" s="241" t="s">
        <v>441</v>
      </c>
      <c r="U131" s="343"/>
    </row>
    <row r="132" spans="2:25" s="91" customFormat="1" ht="15" customHeight="1">
      <c r="B132" s="5"/>
      <c r="C132" s="5"/>
      <c r="D132" s="61"/>
      <c r="E132" s="60"/>
      <c r="F132" s="60"/>
      <c r="G132" s="60"/>
      <c r="H132" s="60"/>
      <c r="I132" s="60"/>
      <c r="J132" s="60"/>
      <c r="K132" s="106"/>
      <c r="L132" s="132"/>
      <c r="M132" s="136"/>
      <c r="N132" s="136"/>
      <c r="O132" s="42"/>
      <c r="P132" s="73"/>
      <c r="Q132" s="29"/>
      <c r="R132" s="1231" t="s">
        <v>446</v>
      </c>
      <c r="S132" s="241"/>
      <c r="U132" s="343"/>
    </row>
    <row r="133" spans="2:25" s="87" customFormat="1" ht="15" customHeight="1" thickBot="1">
      <c r="B133" s="172">
        <f>Periode!B133</f>
        <v>0</v>
      </c>
      <c r="C133" s="172">
        <f>Periode!H133</f>
        <v>0</v>
      </c>
      <c r="D133" s="61"/>
      <c r="E133" s="60"/>
      <c r="F133" s="60"/>
      <c r="G133" s="60"/>
      <c r="H133" s="60"/>
      <c r="I133" s="60"/>
      <c r="J133" s="438"/>
      <c r="K133" s="89"/>
      <c r="L133" s="132"/>
      <c r="M133" s="61"/>
      <c r="N133" s="61"/>
      <c r="O133" s="90"/>
      <c r="P133" s="1250" t="s">
        <v>543</v>
      </c>
      <c r="Q133" s="1249">
        <v>40.770000000000003</v>
      </c>
      <c r="R133" s="962">
        <f>K134</f>
        <v>542.49250000000006</v>
      </c>
      <c r="U133" s="409"/>
    </row>
    <row r="134" spans="2:25" s="91" customFormat="1" ht="15" customHeight="1">
      <c r="B134" s="1243" t="str">
        <f>Periode!B134</f>
        <v>Remco van Doorne</v>
      </c>
      <c r="C134" s="5">
        <f>Periode!G134</f>
        <v>0</v>
      </c>
      <c r="D134" s="61">
        <v>5</v>
      </c>
      <c r="E134" s="60">
        <v>40</v>
      </c>
      <c r="F134" s="60"/>
      <c r="G134" s="235"/>
      <c r="H134" s="60"/>
      <c r="I134" s="235"/>
      <c r="J134" s="60"/>
      <c r="K134" s="106">
        <f>(Periode!BB134*E134/40)+((F134+H134+I134)*Periode!BD134/40)+(J134*Periode!BF134/40)+(G134*Periode!BE134/40)</f>
        <v>542.49250000000006</v>
      </c>
      <c r="L134" s="704"/>
      <c r="M134" s="136"/>
      <c r="N134" s="136"/>
      <c r="O134" s="42"/>
      <c r="P134" s="1146">
        <f>(D134*Periode!AY134)</f>
        <v>52.15</v>
      </c>
      <c r="Q134" s="1109">
        <f>K134+O134+P134</f>
        <v>594.64250000000004</v>
      </c>
      <c r="R134" s="962" t="s">
        <v>454</v>
      </c>
      <c r="S134" s="878" t="s">
        <v>429</v>
      </c>
      <c r="T134" s="825"/>
      <c r="U134" s="826"/>
      <c r="V134" s="825"/>
      <c r="W134" s="825"/>
      <c r="X134" s="825"/>
      <c r="Y134" s="827"/>
    </row>
    <row r="135" spans="2:25" s="91" customFormat="1" ht="15" customHeight="1">
      <c r="B135" s="5"/>
      <c r="C135" s="5"/>
      <c r="D135" s="61"/>
      <c r="E135" s="60"/>
      <c r="F135" s="60"/>
      <c r="G135" s="60"/>
      <c r="H135" s="60"/>
      <c r="I135" s="60"/>
      <c r="J135" s="60"/>
      <c r="K135" s="106"/>
      <c r="L135" s="132"/>
      <c r="M135" s="136"/>
      <c r="N135" s="136"/>
      <c r="O135" s="42"/>
      <c r="P135" s="73"/>
      <c r="Q135" s="29"/>
      <c r="R135" s="962">
        <f>P134</f>
        <v>52.15</v>
      </c>
      <c r="S135" s="676" t="s">
        <v>432</v>
      </c>
      <c r="U135" s="343"/>
      <c r="Y135" s="858"/>
    </row>
    <row r="136" spans="2:25" ht="15.75" thickBot="1">
      <c r="Q136" s="69"/>
      <c r="R136" s="1230"/>
      <c r="S136" s="877" t="s">
        <v>433</v>
      </c>
      <c r="T136" s="1179"/>
      <c r="U136" s="1180"/>
      <c r="V136" s="1179"/>
      <c r="W136" s="1179"/>
      <c r="X136" s="1179"/>
      <c r="Y136" s="1181"/>
    </row>
    <row r="137" spans="2:25">
      <c r="P137" s="705"/>
      <c r="Q137" s="705"/>
    </row>
    <row r="138" spans="2:25" s="91" customFormat="1" ht="16.5" customHeight="1">
      <c r="B138" s="5" t="str">
        <f>Periode!B138</f>
        <v>Rob Valkenburg</v>
      </c>
      <c r="C138" s="5" t="str">
        <f>Periode!G138</f>
        <v>0</v>
      </c>
      <c r="D138" s="61">
        <v>4</v>
      </c>
      <c r="E138" s="60">
        <v>29.5</v>
      </c>
      <c r="F138" s="235"/>
      <c r="G138" s="60"/>
      <c r="H138" s="60"/>
      <c r="I138" s="60"/>
      <c r="J138" s="60"/>
      <c r="K138" s="106">
        <f>(Periode!BB138*E138/40)+((F138+H138+I138)*Periode!BD138/40)+(J138*Periode!BF138/40)+(G138*Periode!BE138/40)</f>
        <v>539.78362499999992</v>
      </c>
      <c r="L138" s="132">
        <v>35</v>
      </c>
      <c r="M138" s="136"/>
      <c r="N138" s="136">
        <f>(L138*D138*2)+M138</f>
        <v>280</v>
      </c>
      <c r="O138" s="42">
        <f>((L138*2*D138)+M138)*0.28</f>
        <v>78.400000000000006</v>
      </c>
      <c r="P138" s="73"/>
      <c r="Q138" s="42">
        <f>K138+O138+P138</f>
        <v>618.18362499999989</v>
      </c>
      <c r="R138" s="271" t="s">
        <v>534</v>
      </c>
      <c r="S138" s="241" t="s">
        <v>437</v>
      </c>
      <c r="U138" s="343"/>
    </row>
    <row r="139" spans="2:25" s="91" customFormat="1" ht="15" customHeight="1">
      <c r="B139" s="5"/>
      <c r="C139" s="5"/>
      <c r="D139" s="61"/>
      <c r="E139" s="60"/>
      <c r="F139" s="235"/>
      <c r="G139" s="235"/>
      <c r="H139" s="235"/>
      <c r="I139" s="60"/>
      <c r="J139" s="235"/>
      <c r="K139" s="106"/>
      <c r="L139" s="132"/>
      <c r="M139" s="136"/>
      <c r="N139" s="136"/>
      <c r="O139" s="42"/>
      <c r="P139" s="73"/>
      <c r="Q139" s="42"/>
      <c r="R139" s="271"/>
      <c r="S139" s="241"/>
      <c r="U139" s="343"/>
    </row>
    <row r="140" spans="2:25" s="91" customFormat="1" ht="15" customHeight="1">
      <c r="B140" s="5"/>
      <c r="C140" s="5"/>
      <c r="D140" s="61"/>
      <c r="E140" s="60"/>
      <c r="F140" s="60"/>
      <c r="G140" s="60"/>
      <c r="H140" s="60"/>
      <c r="I140" s="60"/>
      <c r="J140" s="60"/>
      <c r="K140" s="106"/>
      <c r="L140" s="132"/>
      <c r="M140" s="136"/>
      <c r="N140" s="136"/>
      <c r="O140" s="42"/>
      <c r="P140" s="73"/>
      <c r="Q140" s="42"/>
      <c r="R140" s="271"/>
      <c r="S140" s="241"/>
      <c r="U140" s="343"/>
    </row>
    <row r="141" spans="2:25" s="91" customFormat="1" ht="15" customHeight="1">
      <c r="B141" s="1149" t="str">
        <f>Periode!B141</f>
        <v>Herman Vos</v>
      </c>
      <c r="C141" s="5">
        <f>Periode!G141</f>
        <v>0</v>
      </c>
      <c r="D141" s="61">
        <v>5</v>
      </c>
      <c r="E141" s="60">
        <v>40</v>
      </c>
      <c r="F141" s="60"/>
      <c r="G141" s="60"/>
      <c r="H141" s="60"/>
      <c r="I141" s="60"/>
      <c r="J141" s="60"/>
      <c r="K141" s="106">
        <f>(Periode!BB141*E141/40)+((F141+H141+I141)*Periode!BD141/40)+(J141*Periode!BF141/40)+(G141*Periode!BE141/40)</f>
        <v>750</v>
      </c>
      <c r="L141" s="132"/>
      <c r="M141" s="136"/>
      <c r="N141" s="136"/>
      <c r="O141" s="42"/>
      <c r="P141" s="73"/>
      <c r="Q141" s="29">
        <f>K141+O141+P141</f>
        <v>750</v>
      </c>
      <c r="R141" s="271"/>
      <c r="S141" s="241" t="s">
        <v>424</v>
      </c>
      <c r="U141" s="343"/>
    </row>
    <row r="142" spans="2:25" s="87" customFormat="1" ht="15" customHeight="1">
      <c r="B142" s="172">
        <f>Periode!B142</f>
        <v>0</v>
      </c>
      <c r="C142" s="172">
        <f>Periode!H142</f>
        <v>0</v>
      </c>
      <c r="D142" s="61"/>
      <c r="E142" s="60"/>
      <c r="F142" s="60"/>
      <c r="G142" s="60"/>
      <c r="H142" s="60"/>
      <c r="I142" s="60"/>
      <c r="J142" s="60"/>
      <c r="K142" s="89"/>
      <c r="L142" s="132"/>
      <c r="M142" s="61"/>
      <c r="N142" s="61"/>
      <c r="O142" s="42"/>
      <c r="P142" s="705"/>
      <c r="Q142" s="882"/>
      <c r="R142" s="271"/>
      <c r="S142" s="387"/>
      <c r="U142" s="409"/>
    </row>
    <row r="143" spans="2:25" s="91" customFormat="1" ht="15" customHeight="1">
      <c r="B143" s="5" t="str">
        <f>Periode!B143</f>
        <v>Remco Groenendaal</v>
      </c>
      <c r="C143" s="5" t="str">
        <f>Periode!G143</f>
        <v>32 (4wk)</v>
      </c>
      <c r="D143" s="61">
        <v>5</v>
      </c>
      <c r="E143" s="60">
        <v>40</v>
      </c>
      <c r="F143" s="60"/>
      <c r="G143" s="60"/>
      <c r="H143" s="60"/>
      <c r="I143" s="60"/>
      <c r="J143" s="60"/>
      <c r="K143" s="106">
        <f>(Periode!BB143*E143/40)+((F143+H143+I143)*Periode!BD143/40)+(J143*Periode!BF143/40)+(G143*Periode!BE143/40)</f>
        <v>722.02</v>
      </c>
      <c r="L143" s="132">
        <v>30</v>
      </c>
      <c r="M143" s="136"/>
      <c r="N143" s="136">
        <f>(L143*D143*2)+M143</f>
        <v>300</v>
      </c>
      <c r="O143" s="42">
        <f>((L143*2*D143)+M143)*0.28</f>
        <v>84.000000000000014</v>
      </c>
      <c r="P143" s="73"/>
      <c r="Q143" s="29">
        <f>K143+O143+P143</f>
        <v>806.02</v>
      </c>
      <c r="R143" s="271"/>
      <c r="S143" s="241" t="s">
        <v>408</v>
      </c>
      <c r="U143" s="343"/>
    </row>
    <row r="144" spans="2:25" s="87" customFormat="1" ht="15" customHeight="1">
      <c r="B144" s="172">
        <f>Periode!B144</f>
        <v>0</v>
      </c>
      <c r="C144" s="172">
        <f>Periode!H144</f>
        <v>0</v>
      </c>
      <c r="D144" s="61"/>
      <c r="E144" s="60"/>
      <c r="F144" s="60"/>
      <c r="G144" s="60"/>
      <c r="H144" s="60"/>
      <c r="I144" s="60"/>
      <c r="J144" s="60"/>
      <c r="K144" s="89"/>
      <c r="L144" s="132"/>
      <c r="M144" s="61"/>
      <c r="N144" s="61"/>
      <c r="O144" s="42"/>
      <c r="P144" s="73"/>
      <c r="Q144" s="284"/>
      <c r="R144" s="271"/>
      <c r="S144" s="387"/>
      <c r="U144" s="409"/>
    </row>
    <row r="145" spans="1:21" s="87" customFormat="1" ht="15" customHeight="1">
      <c r="B145" s="172">
        <f>Periode!B145</f>
        <v>0</v>
      </c>
      <c r="C145" s="172">
        <f>Periode!H145</f>
        <v>0</v>
      </c>
      <c r="D145" s="61"/>
      <c r="E145" s="60"/>
      <c r="F145" s="60"/>
      <c r="G145" s="60"/>
      <c r="H145" s="60"/>
      <c r="I145" s="60"/>
      <c r="J145" s="60"/>
      <c r="K145" s="89"/>
      <c r="L145" s="132"/>
      <c r="M145" s="61"/>
      <c r="N145" s="61"/>
      <c r="O145" s="42"/>
      <c r="P145" s="73"/>
      <c r="Q145" s="90"/>
      <c r="R145" s="271"/>
      <c r="S145" s="387"/>
      <c r="U145" s="409"/>
    </row>
    <row r="146" spans="1:21" s="87" customFormat="1" ht="15" customHeight="1">
      <c r="B146" s="172">
        <f>Periode!B146</f>
        <v>0</v>
      </c>
      <c r="C146" s="172">
        <f>Periode!H146</f>
        <v>0</v>
      </c>
      <c r="D146" s="61"/>
      <c r="E146" s="60"/>
      <c r="F146" s="60"/>
      <c r="G146" s="60"/>
      <c r="H146" s="60"/>
      <c r="I146" s="60"/>
      <c r="J146" s="60"/>
      <c r="K146" s="89"/>
      <c r="L146" s="132"/>
      <c r="M146" s="61"/>
      <c r="N146" s="61"/>
      <c r="O146" s="42"/>
      <c r="P146" s="73"/>
      <c r="Q146" s="90"/>
      <c r="R146" s="271"/>
      <c r="S146" s="387"/>
      <c r="U146" s="409"/>
    </row>
    <row r="147" spans="1:21" s="91" customFormat="1" ht="15" customHeight="1">
      <c r="B147" s="5" t="str">
        <f>Periode!B147</f>
        <v>Fred Termonen</v>
      </c>
      <c r="C147" s="5" t="str">
        <f>Periode!G147</f>
        <v>32 (4wk)</v>
      </c>
      <c r="D147" s="61">
        <v>3</v>
      </c>
      <c r="E147" s="60">
        <v>24</v>
      </c>
      <c r="F147" s="60"/>
      <c r="G147" s="60"/>
      <c r="H147" s="60"/>
      <c r="I147" s="60"/>
      <c r="J147" s="60"/>
      <c r="K147" s="106">
        <f>(Periode!BB147*E147/40)+((F147+H147+I147)*Periode!BD147/40)+(J147*Periode!BF147/40)+(G147*Periode!BE147/40)</f>
        <v>456.67200000000003</v>
      </c>
      <c r="L147" s="136"/>
      <c r="M147" s="136"/>
      <c r="N147" s="136"/>
      <c r="O147" s="42"/>
      <c r="P147" s="73"/>
      <c r="Q147" s="42">
        <f>K147+O147+P147</f>
        <v>456.67200000000003</v>
      </c>
      <c r="R147" s="271" t="s">
        <v>465</v>
      </c>
      <c r="S147" s="241" t="s">
        <v>201</v>
      </c>
      <c r="U147" s="343"/>
    </row>
    <row r="149" spans="1:21" s="719" customFormat="1" ht="15" customHeight="1">
      <c r="A149" s="91"/>
      <c r="B149" s="5" t="str">
        <f>Periode!B149</f>
        <v>Arnold Verstraten</v>
      </c>
      <c r="C149" s="5" t="str">
        <f>Periode!G149</f>
        <v>32 (4wk)</v>
      </c>
      <c r="D149" s="61">
        <v>5</v>
      </c>
      <c r="E149" s="60">
        <v>40</v>
      </c>
      <c r="F149" s="60"/>
      <c r="G149" s="60"/>
      <c r="H149" s="60"/>
      <c r="I149" s="60"/>
      <c r="J149" s="60"/>
      <c r="K149" s="106">
        <f>(Periode!BB149*E149/40)+((F149+H149+I149)*Periode!BD149/40)+(J149*Periode!BF149/40)+(G149*Periode!BE149/40)</f>
        <v>700.42000000000007</v>
      </c>
      <c r="L149" s="132">
        <v>27</v>
      </c>
      <c r="M149" s="136"/>
      <c r="N149" s="136">
        <f>(L149*D149*2)+M149</f>
        <v>270</v>
      </c>
      <c r="O149" s="42">
        <f>((L149*2*D149)+M149)*0.28</f>
        <v>75.600000000000009</v>
      </c>
      <c r="P149" s="73"/>
      <c r="Q149" s="42">
        <f>K149+O149+P149</f>
        <v>776.0200000000001</v>
      </c>
      <c r="R149" s="271"/>
      <c r="S149" s="241" t="s">
        <v>252</v>
      </c>
      <c r="U149" s="720"/>
    </row>
    <row r="151" spans="1:21">
      <c r="O151" s="808"/>
      <c r="S151" s="407"/>
    </row>
    <row r="152" spans="1:21" s="87" customFormat="1" ht="15" customHeight="1">
      <c r="B152" s="88"/>
      <c r="C152" s="88"/>
      <c r="D152" s="112"/>
      <c r="E152" s="874"/>
      <c r="F152" s="874"/>
      <c r="G152" s="874"/>
      <c r="H152" s="874"/>
      <c r="I152" s="874"/>
      <c r="J152" s="874"/>
      <c r="K152" s="89"/>
      <c r="L152" s="112"/>
      <c r="M152" s="112"/>
      <c r="N152" s="112"/>
      <c r="O152" s="90"/>
      <c r="P152" s="90"/>
      <c r="Q152" s="90"/>
      <c r="R152" s="880"/>
      <c r="S152" s="875"/>
      <c r="U152" s="409"/>
    </row>
    <row r="153" spans="1:21">
      <c r="R153" s="271"/>
    </row>
    <row r="154" spans="1:21">
      <c r="R154" s="271"/>
    </row>
    <row r="155" spans="1:21" s="719" customFormat="1" ht="15" customHeight="1">
      <c r="A155" s="91"/>
      <c r="B155" s="242">
        <f>Periode!B155</f>
        <v>0</v>
      </c>
      <c r="C155" s="242">
        <f>Periode!G155</f>
        <v>0</v>
      </c>
      <c r="D155" s="61"/>
      <c r="E155" s="60"/>
      <c r="F155" s="60"/>
      <c r="G155" s="60"/>
      <c r="H155" s="60"/>
      <c r="I155" s="60"/>
      <c r="J155" s="60"/>
      <c r="K155" s="244">
        <f>(Periode!BB155*E155/40)+((F155+H155+I155)*Periode!BD155/40)+(J155*Periode!BF155/40)+(G155*Periode!BE155/40)</f>
        <v>0</v>
      </c>
      <c r="L155" s="243">
        <v>80</v>
      </c>
      <c r="M155" s="243"/>
      <c r="N155" s="243">
        <f>(L155*D155*2)+M155</f>
        <v>0</v>
      </c>
      <c r="O155" s="245">
        <f>((L155*2*D155)+M155)*0.28</f>
        <v>0</v>
      </c>
      <c r="P155" s="245"/>
      <c r="Q155" s="245">
        <f>K155+O155+P155</f>
        <v>0</v>
      </c>
      <c r="R155" s="271"/>
      <c r="S155" s="241"/>
      <c r="U155" s="720"/>
    </row>
    <row r="156" spans="1:21" s="719" customFormat="1" ht="15" customHeight="1">
      <c r="A156" s="91"/>
      <c r="B156" s="5"/>
      <c r="C156" s="5"/>
      <c r="D156" s="61"/>
      <c r="E156" s="60"/>
      <c r="F156" s="60"/>
      <c r="G156" s="60"/>
      <c r="H156" s="60"/>
      <c r="I156" s="60"/>
      <c r="J156" s="60"/>
      <c r="K156" s="106"/>
      <c r="L156" s="132"/>
      <c r="M156" s="136"/>
      <c r="N156" s="136"/>
      <c r="O156" s="42"/>
      <c r="P156" s="42"/>
      <c r="Q156" s="42"/>
      <c r="R156" s="271"/>
      <c r="S156" s="241"/>
      <c r="U156" s="720"/>
    </row>
    <row r="157" spans="1:21">
      <c r="R157" s="271"/>
    </row>
    <row r="158" spans="1:21">
      <c r="O158" s="65"/>
      <c r="R158" s="271"/>
    </row>
    <row r="159" spans="1:21">
      <c r="O159" s="65"/>
      <c r="R159" s="271"/>
    </row>
  </sheetData>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523F0-4465-419F-8034-3B15E240FDE4}">
  <sheetPr>
    <tabColor rgb="FFC00000"/>
  </sheetPr>
  <dimension ref="A1:HI493"/>
  <sheetViews>
    <sheetView zoomScaleNormal="100" workbookViewId="0">
      <pane xSplit="2" ySplit="7" topLeftCell="AP80" activePane="bottomRight" state="frozen"/>
      <selection pane="topRight" activeCell="C1" sqref="C1"/>
      <selection pane="bottomLeft" activeCell="A8" sqref="A8"/>
      <selection pane="bottomRight" activeCell="BB91" sqref="BB91"/>
    </sheetView>
  </sheetViews>
  <sheetFormatPr defaultRowHeight="15"/>
  <cols>
    <col min="1" max="1" width="3" style="289" bestFit="1" customWidth="1"/>
    <col min="2" max="2" width="20.42578125" style="81" customWidth="1"/>
    <col min="3" max="3" width="10.7109375" style="392" customWidth="1"/>
    <col min="4" max="4" width="12" style="166" customWidth="1"/>
    <col min="5" max="5" width="13.140625" style="293" customWidth="1"/>
    <col min="6" max="6" width="9.5703125" style="293" customWidth="1"/>
    <col min="7" max="7" width="9.5703125" style="269" customWidth="1"/>
    <col min="8" max="8" width="6.7109375" style="26" customWidth="1"/>
    <col min="9" max="9" width="19" style="26" customWidth="1"/>
    <col min="10" max="10" width="30.7109375" style="26" bestFit="1" customWidth="1"/>
    <col min="11" max="11" width="28.85546875" style="11" customWidth="1"/>
    <col min="12" max="12" width="6.7109375" style="332" customWidth="1"/>
    <col min="13" max="13" width="6.85546875" style="334" bestFit="1" customWidth="1"/>
    <col min="14" max="14" width="7.140625" style="42" customWidth="1"/>
    <col min="15" max="15" width="5.85546875" style="14" customWidth="1"/>
    <col min="16" max="16" width="6.85546875" style="14" customWidth="1"/>
    <col min="17" max="17" width="8.5703125" style="14" customWidth="1"/>
    <col min="18" max="18" width="7.28515625" style="236" customWidth="1"/>
    <col min="19" max="19" width="0.7109375" style="77" customWidth="1"/>
    <col min="20" max="20" width="10.5703125" style="24" customWidth="1"/>
    <col min="21" max="21" width="7.7109375" style="1028" customWidth="1"/>
    <col min="22" max="23" width="10.42578125" style="24" bestFit="1" customWidth="1"/>
    <col min="24" max="24" width="7.7109375" style="1028" customWidth="1"/>
    <col min="25" max="25" width="6.42578125" style="298" customWidth="1"/>
    <col min="26" max="26" width="8.7109375" style="319" bestFit="1" customWidth="1"/>
    <col min="27" max="27" width="7.7109375" style="320" bestFit="1" customWidth="1"/>
    <col min="28" max="28" width="0.7109375" style="78" customWidth="1"/>
    <col min="29" max="29" width="11.7109375" style="13" bestFit="1" customWidth="1"/>
    <col min="30" max="30" width="11.7109375" style="26" bestFit="1" customWidth="1"/>
    <col min="31" max="31" width="11.7109375" style="27" bestFit="1" customWidth="1"/>
    <col min="32" max="32" width="7.7109375" style="1066" customWidth="1"/>
    <col min="33" max="33" width="5.140625" style="1049" customWidth="1"/>
    <col min="34" max="34" width="12.140625" style="10" customWidth="1"/>
    <col min="35" max="35" width="11.5703125" style="1001" customWidth="1"/>
    <col min="36" max="36" width="0.7109375" style="46" customWidth="1"/>
    <col min="37" max="37" width="10" style="584" bestFit="1" customWidth="1"/>
    <col min="38" max="38" width="0.7109375" style="46" customWidth="1"/>
    <col min="39" max="39" width="8.42578125" style="9" customWidth="1"/>
    <col min="40" max="40" width="7.85546875" style="180" customWidth="1"/>
    <col min="41" max="41" width="6.5703125" style="10" customWidth="1"/>
    <col min="42" max="42" width="6.42578125" style="31" customWidth="1"/>
    <col min="43" max="43" width="8" style="10" customWidth="1"/>
    <col min="44" max="44" width="0.7109375" style="46" customWidth="1"/>
    <col min="45" max="45" width="6.85546875" style="236" customWidth="1"/>
    <col min="46" max="47" width="7.85546875" style="9" customWidth="1"/>
    <col min="48" max="49" width="6.28515625" style="9" customWidth="1"/>
    <col min="50" max="50" width="6.85546875" style="9" customWidth="1"/>
    <col min="51" max="51" width="8.85546875" style="36" customWidth="1"/>
    <col min="52" max="52" width="9.28515625" style="297" customWidth="1"/>
    <col min="53" max="53" width="0.7109375" style="45" customWidth="1"/>
    <col min="54" max="54" width="14.7109375" style="882" customWidth="1"/>
    <col min="55" max="55" width="14.28515625" style="882" customWidth="1"/>
    <col min="56" max="56" width="13.42578125" style="885" customWidth="1"/>
    <col min="57" max="57" width="13.42578125" style="543" customWidth="1"/>
    <col min="58" max="58" width="12.85546875" style="1112" customWidth="1"/>
    <col min="59" max="59" width="51" style="241" customWidth="1"/>
    <col min="61" max="61" width="9.140625" style="583"/>
  </cols>
  <sheetData>
    <row r="1" spans="1:217">
      <c r="B1" s="724"/>
      <c r="C1" s="28"/>
      <c r="D1" s="164"/>
      <c r="E1" s="29"/>
      <c r="F1" s="29"/>
      <c r="G1" s="263"/>
      <c r="H1" s="8"/>
      <c r="I1" s="8"/>
      <c r="J1" s="8"/>
      <c r="K1" s="7"/>
      <c r="L1" s="324"/>
      <c r="M1" s="38"/>
      <c r="N1" s="29"/>
      <c r="O1" s="9"/>
      <c r="P1" s="725"/>
      <c r="Q1" s="9"/>
      <c r="R1" s="9"/>
      <c r="S1" s="76"/>
      <c r="T1" s="8"/>
      <c r="U1" s="1011"/>
      <c r="V1" s="8"/>
      <c r="W1" s="8"/>
      <c r="X1" s="1011"/>
      <c r="Z1" s="143"/>
      <c r="AA1" s="316"/>
      <c r="AB1" s="45"/>
      <c r="AC1" s="8"/>
      <c r="AD1" s="114"/>
      <c r="AE1" s="25"/>
      <c r="AF1" s="1050"/>
      <c r="AG1" s="25"/>
      <c r="AZ1" s="143"/>
    </row>
    <row r="2" spans="1:217" ht="21">
      <c r="B2" s="726" t="s">
        <v>87</v>
      </c>
      <c r="C2" s="726"/>
      <c r="D2" s="727" t="s">
        <v>89</v>
      </c>
      <c r="E2" s="728"/>
      <c r="F2" s="729"/>
      <c r="G2" s="730"/>
      <c r="H2" s="728"/>
      <c r="I2" s="728"/>
      <c r="J2" s="730"/>
      <c r="K2" s="728"/>
      <c r="L2" s="731"/>
      <c r="M2" s="732"/>
      <c r="N2" s="733"/>
      <c r="O2" s="9"/>
      <c r="P2" s="9"/>
      <c r="Q2" s="9"/>
      <c r="R2" s="9"/>
      <c r="S2" s="76"/>
      <c r="T2" s="8"/>
      <c r="U2" s="1011"/>
      <c r="V2" s="8"/>
      <c r="W2" s="8"/>
      <c r="X2" s="1011"/>
      <c r="Z2" s="143"/>
      <c r="AA2" s="316"/>
      <c r="AB2" s="45"/>
      <c r="AC2" s="8"/>
      <c r="AD2" s="8"/>
      <c r="AE2" s="734"/>
      <c r="AF2" s="1050"/>
      <c r="AG2" s="734"/>
    </row>
    <row r="3" spans="1:217" ht="15.75">
      <c r="B3" s="735"/>
      <c r="C3" s="736"/>
      <c r="D3" s="737" t="s">
        <v>113</v>
      </c>
      <c r="E3" s="738"/>
      <c r="F3" s="738"/>
      <c r="G3" s="738"/>
      <c r="H3" s="738"/>
      <c r="I3" s="738"/>
      <c r="J3" s="815"/>
      <c r="K3" s="738"/>
      <c r="L3" s="739"/>
      <c r="M3" s="740"/>
      <c r="N3" s="741"/>
      <c r="O3" s="9"/>
      <c r="P3" s="9"/>
      <c r="Q3" s="9"/>
      <c r="R3" s="9"/>
      <c r="S3" s="76"/>
      <c r="T3" s="742"/>
      <c r="U3" s="1012"/>
      <c r="V3" s="743"/>
      <c r="W3" s="8"/>
      <c r="X3" s="1011"/>
      <c r="Z3" s="143"/>
      <c r="AA3" s="316"/>
      <c r="AB3" s="45"/>
      <c r="AC3" s="994"/>
      <c r="AD3" s="8"/>
      <c r="AE3" s="25"/>
      <c r="AF3" s="1050"/>
      <c r="AG3" s="25"/>
      <c r="BB3" s="890" t="s">
        <v>191</v>
      </c>
      <c r="BC3" s="890" t="s">
        <v>192</v>
      </c>
      <c r="BD3" s="890"/>
      <c r="BE3" s="1107"/>
      <c r="BF3" s="1113" t="s">
        <v>193</v>
      </c>
      <c r="BG3" s="744" t="s">
        <v>19</v>
      </c>
    </row>
    <row r="4" spans="1:217">
      <c r="B4" s="745"/>
      <c r="C4" s="28"/>
      <c r="D4" s="164"/>
      <c r="E4" s="29"/>
      <c r="F4" s="29"/>
      <c r="G4" s="263"/>
      <c r="H4" s="8"/>
      <c r="I4" s="746"/>
      <c r="J4" s="746"/>
      <c r="K4" s="7"/>
      <c r="L4" s="324"/>
      <c r="M4" s="38"/>
      <c r="N4" s="29"/>
      <c r="O4" s="9"/>
      <c r="P4" s="9"/>
      <c r="Q4" s="9"/>
      <c r="R4" s="9"/>
      <c r="S4" s="76"/>
      <c r="T4" s="212"/>
      <c r="U4" s="1013"/>
      <c r="V4" s="212"/>
      <c r="W4" s="8"/>
      <c r="X4" s="1011"/>
      <c r="Y4" s="299"/>
      <c r="Z4" s="296"/>
      <c r="AA4" s="317"/>
      <c r="AB4" s="45"/>
      <c r="AC4" s="994"/>
      <c r="AD4" s="8"/>
      <c r="AE4" s="25"/>
      <c r="AF4" s="1051"/>
      <c r="AG4" s="25"/>
      <c r="AK4" s="747" t="s">
        <v>140</v>
      </c>
      <c r="AM4" s="748" t="s">
        <v>188</v>
      </c>
      <c r="AN4" s="897"/>
      <c r="AO4" s="749" t="s">
        <v>31</v>
      </c>
      <c r="AP4" s="750"/>
      <c r="AQ4" s="751"/>
      <c r="AS4" s="752"/>
      <c r="AT4" s="752"/>
      <c r="AU4" s="752"/>
      <c r="AV4" s="752"/>
      <c r="AW4" s="752"/>
      <c r="AX4" s="752"/>
      <c r="AY4" s="752"/>
      <c r="AZ4" s="752"/>
      <c r="BB4" s="1089" t="s">
        <v>75</v>
      </c>
      <c r="BC4" s="891" t="s">
        <v>36</v>
      </c>
      <c r="BD4" s="891" t="s">
        <v>70</v>
      </c>
      <c r="BE4" s="6" t="s">
        <v>198</v>
      </c>
      <c r="BF4" s="1114" t="s">
        <v>25</v>
      </c>
      <c r="BG4" s="568"/>
    </row>
    <row r="5" spans="1:217">
      <c r="B5" s="745"/>
      <c r="C5" s="28"/>
      <c r="D5" s="164"/>
      <c r="E5" s="29"/>
      <c r="F5" s="29"/>
      <c r="G5" s="263"/>
      <c r="H5" s="28"/>
      <c r="I5" s="8"/>
      <c r="J5" s="8"/>
      <c r="K5" s="7"/>
      <c r="L5" s="324"/>
      <c r="M5" s="255" t="s">
        <v>402</v>
      </c>
      <c r="N5" s="29"/>
      <c r="O5" s="337"/>
      <c r="P5" s="30"/>
      <c r="Q5" s="30"/>
      <c r="R5" s="337"/>
      <c r="S5" s="44"/>
      <c r="T5" s="1068" t="s">
        <v>27</v>
      </c>
      <c r="U5" s="1080"/>
      <c r="V5" s="1076" t="s">
        <v>27</v>
      </c>
      <c r="W5" s="1076" t="s">
        <v>27</v>
      </c>
      <c r="X5" s="1029"/>
      <c r="Y5" s="1069" t="s">
        <v>94</v>
      </c>
      <c r="Z5" s="1070" t="s">
        <v>99</v>
      </c>
      <c r="AA5" s="1071" t="s">
        <v>37</v>
      </c>
      <c r="AB5" s="44"/>
      <c r="AC5" s="1067" t="s">
        <v>328</v>
      </c>
      <c r="AD5" s="1067" t="s">
        <v>328</v>
      </c>
      <c r="AE5" s="1067" t="s">
        <v>328</v>
      </c>
      <c r="AF5" s="1038"/>
      <c r="AG5" s="754"/>
      <c r="AH5" s="1094" t="s">
        <v>368</v>
      </c>
      <c r="AI5" s="1000" t="s">
        <v>325</v>
      </c>
      <c r="AJ5" s="47"/>
      <c r="AK5" s="755"/>
      <c r="AL5" s="47"/>
      <c r="AM5" s="756" t="s">
        <v>324</v>
      </c>
      <c r="AN5" s="898"/>
      <c r="AO5" s="757" t="s">
        <v>30</v>
      </c>
      <c r="AP5" s="758"/>
      <c r="AQ5" s="759"/>
      <c r="AR5" s="47"/>
      <c r="AS5" s="760" t="s">
        <v>107</v>
      </c>
      <c r="AT5" s="760" t="s">
        <v>105</v>
      </c>
      <c r="AU5" s="760" t="s">
        <v>107</v>
      </c>
      <c r="AV5" s="760" t="s">
        <v>105</v>
      </c>
      <c r="AW5" s="760" t="s">
        <v>107</v>
      </c>
      <c r="AX5" s="760" t="s">
        <v>106</v>
      </c>
      <c r="AY5" s="761"/>
      <c r="AZ5" s="762"/>
      <c r="BA5" s="763"/>
      <c r="BB5" s="830" t="s">
        <v>74</v>
      </c>
      <c r="BC5" s="830" t="s">
        <v>235</v>
      </c>
      <c r="BD5" s="705" t="s">
        <v>236</v>
      </c>
      <c r="BE5" s="42"/>
      <c r="BF5" s="836" t="s">
        <v>71</v>
      </c>
      <c r="BG5" s="568"/>
    </row>
    <row r="6" spans="1:217">
      <c r="B6" s="85"/>
      <c r="C6" s="40"/>
      <c r="D6" s="165"/>
      <c r="E6" s="115"/>
      <c r="F6" s="115"/>
      <c r="G6" s="264" t="s">
        <v>84</v>
      </c>
      <c r="H6" s="40"/>
      <c r="I6" s="40"/>
      <c r="J6" s="117"/>
      <c r="K6" s="12"/>
      <c r="L6" s="764" t="s">
        <v>14</v>
      </c>
      <c r="M6" s="1145" t="s">
        <v>102</v>
      </c>
      <c r="N6" s="255" t="s">
        <v>14</v>
      </c>
      <c r="O6" s="765"/>
      <c r="P6" s="41"/>
      <c r="Q6" s="765">
        <v>0.08</v>
      </c>
      <c r="R6" s="766"/>
      <c r="S6" s="44"/>
      <c r="T6" s="1079" t="s">
        <v>38</v>
      </c>
      <c r="U6" s="1081"/>
      <c r="V6" s="1077" t="s">
        <v>372</v>
      </c>
      <c r="W6" s="1078" t="s">
        <v>373</v>
      </c>
      <c r="X6" s="1014"/>
      <c r="Y6" s="753"/>
      <c r="Z6" s="767" t="s">
        <v>98</v>
      </c>
      <c r="AA6" s="767" t="s">
        <v>98</v>
      </c>
      <c r="AB6" s="44"/>
      <c r="AC6" s="1073" t="s">
        <v>371</v>
      </c>
      <c r="AD6" s="1074" t="s">
        <v>372</v>
      </c>
      <c r="AE6" s="1075" t="s">
        <v>373</v>
      </c>
      <c r="AF6" s="1072"/>
      <c r="AG6" s="768"/>
      <c r="AH6" s="1095" t="s">
        <v>369</v>
      </c>
      <c r="AI6" s="996" t="s">
        <v>326</v>
      </c>
      <c r="AJ6" s="47"/>
      <c r="AK6" s="769" t="s">
        <v>139</v>
      </c>
      <c r="AL6" s="47"/>
      <c r="AM6" s="770" t="s">
        <v>67</v>
      </c>
      <c r="AN6" s="899">
        <v>18.95</v>
      </c>
      <c r="AO6" s="771" t="s">
        <v>86</v>
      </c>
      <c r="AP6" s="758"/>
      <c r="AQ6" s="772" t="s">
        <v>9</v>
      </c>
      <c r="AR6" s="47"/>
      <c r="AS6" s="773" t="s">
        <v>102</v>
      </c>
      <c r="AT6" s="774" t="s">
        <v>108</v>
      </c>
      <c r="AU6" s="774" t="s">
        <v>108</v>
      </c>
      <c r="AV6" s="775" t="s">
        <v>101</v>
      </c>
      <c r="AW6" s="775" t="s">
        <v>103</v>
      </c>
      <c r="AX6" s="775" t="s">
        <v>82</v>
      </c>
      <c r="AY6" s="776" t="s">
        <v>104</v>
      </c>
      <c r="AZ6" s="762" t="s">
        <v>100</v>
      </c>
      <c r="BA6" s="48"/>
      <c r="BB6" s="892" t="s">
        <v>76</v>
      </c>
      <c r="BC6" s="893" t="s">
        <v>73</v>
      </c>
      <c r="BD6" s="892" t="s">
        <v>72</v>
      </c>
      <c r="BE6" s="1108"/>
      <c r="BF6" s="1115"/>
      <c r="BG6" s="568"/>
    </row>
    <row r="7" spans="1:217" s="4" customFormat="1">
      <c r="A7" s="1185"/>
      <c r="B7" s="113" t="s">
        <v>52</v>
      </c>
      <c r="C7" s="137"/>
      <c r="D7" s="162" t="s">
        <v>81</v>
      </c>
      <c r="E7" s="162" t="s">
        <v>88</v>
      </c>
      <c r="F7" s="162" t="s">
        <v>69</v>
      </c>
      <c r="G7" s="265" t="s">
        <v>41</v>
      </c>
      <c r="H7" s="137" t="s">
        <v>12</v>
      </c>
      <c r="I7" s="777" t="s">
        <v>34</v>
      </c>
      <c r="J7" s="816" t="s">
        <v>60</v>
      </c>
      <c r="K7" s="778" t="s">
        <v>28</v>
      </c>
      <c r="L7" s="779" t="s">
        <v>15</v>
      </c>
      <c r="M7" s="6" t="s">
        <v>14</v>
      </c>
      <c r="N7" s="57" t="s">
        <v>9</v>
      </c>
      <c r="O7" s="780"/>
      <c r="P7" s="57" t="s">
        <v>110</v>
      </c>
      <c r="Q7" s="781" t="s">
        <v>143</v>
      </c>
      <c r="R7" s="782"/>
      <c r="S7" s="82"/>
      <c r="T7" s="784" t="s">
        <v>0</v>
      </c>
      <c r="U7" s="1015" t="s">
        <v>17</v>
      </c>
      <c r="V7" s="783" t="s">
        <v>0</v>
      </c>
      <c r="W7" s="783" t="s">
        <v>0</v>
      </c>
      <c r="X7" s="1030" t="s">
        <v>17</v>
      </c>
      <c r="Y7" s="784" t="s">
        <v>0</v>
      </c>
      <c r="Z7" s="785">
        <v>0.45</v>
      </c>
      <c r="AA7" s="785">
        <v>0.45</v>
      </c>
      <c r="AB7" s="82"/>
      <c r="AC7" s="786" t="s">
        <v>0</v>
      </c>
      <c r="AD7" s="786" t="s">
        <v>0</v>
      </c>
      <c r="AE7" s="786" t="s">
        <v>0</v>
      </c>
      <c r="AF7" s="1037" t="s">
        <v>17</v>
      </c>
      <c r="AG7" s="786" t="s">
        <v>17</v>
      </c>
      <c r="AH7" s="1096" t="s">
        <v>13</v>
      </c>
      <c r="AI7" s="997" t="s">
        <v>327</v>
      </c>
      <c r="AJ7" s="83"/>
      <c r="AK7" s="787" t="s">
        <v>360</v>
      </c>
      <c r="AL7" s="83"/>
      <c r="AM7" s="788" t="s">
        <v>68</v>
      </c>
      <c r="AN7" s="900" t="s">
        <v>66</v>
      </c>
      <c r="AO7" s="789" t="s">
        <v>123</v>
      </c>
      <c r="AP7" s="790"/>
      <c r="AQ7" s="791" t="s">
        <v>33</v>
      </c>
      <c r="AR7" s="83"/>
      <c r="AS7" s="792" t="s">
        <v>29</v>
      </c>
      <c r="AT7" s="792" t="s">
        <v>29</v>
      </c>
      <c r="AU7" s="792" t="s">
        <v>29</v>
      </c>
      <c r="AV7" s="792" t="s">
        <v>29</v>
      </c>
      <c r="AW7" s="792" t="s">
        <v>29</v>
      </c>
      <c r="AX7" s="792" t="s">
        <v>29</v>
      </c>
      <c r="AY7" s="793" t="s">
        <v>323</v>
      </c>
      <c r="AZ7" s="794" t="s">
        <v>96</v>
      </c>
      <c r="BA7" s="84"/>
      <c r="BB7" s="894"/>
      <c r="BC7" s="1090" t="s">
        <v>77</v>
      </c>
      <c r="BD7" s="895"/>
      <c r="BE7" s="1109"/>
      <c r="BF7" s="1116"/>
      <c r="BG7" s="568"/>
      <c r="BH7"/>
      <c r="BI7" s="583"/>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row>
    <row r="8" spans="1:217" s="4" customFormat="1">
      <c r="A8" s="289"/>
      <c r="B8" s="86" t="s">
        <v>214</v>
      </c>
      <c r="C8" s="143"/>
      <c r="D8" s="164">
        <f>1895.27+14.96-847.69</f>
        <v>1062.54</v>
      </c>
      <c r="E8" s="29" t="s">
        <v>145</v>
      </c>
      <c r="F8" s="29" t="s">
        <v>97</v>
      </c>
      <c r="G8" s="263" t="s">
        <v>230</v>
      </c>
      <c r="H8" s="143" t="s">
        <v>10</v>
      </c>
      <c r="I8" s="32" t="s">
        <v>365</v>
      </c>
      <c r="J8" s="117" t="s">
        <v>174</v>
      </c>
      <c r="K8" s="12" t="s">
        <v>173</v>
      </c>
      <c r="L8" s="336">
        <v>19.190000000000001</v>
      </c>
      <c r="M8" s="204"/>
      <c r="N8" s="41">
        <f>L8+M8</f>
        <v>19.190000000000001</v>
      </c>
      <c r="O8" s="115"/>
      <c r="P8" s="115">
        <f>N8+O8</f>
        <v>19.190000000000001</v>
      </c>
      <c r="Q8" s="115"/>
      <c r="R8" s="115"/>
      <c r="S8" s="44"/>
      <c r="T8" s="32">
        <v>25</v>
      </c>
      <c r="U8" s="1052">
        <f>T8/'Grondslag bouw &amp; infra'!$B$50</f>
        <v>9.5785440613026823E-2</v>
      </c>
      <c r="V8" s="79">
        <v>15</v>
      </c>
      <c r="W8" s="80">
        <v>5</v>
      </c>
      <c r="X8" s="1052">
        <f>(V8+W8)/'Grondslag bouw &amp; infra'!$B$50</f>
        <v>7.662835249042145E-2</v>
      </c>
      <c r="Y8" s="298"/>
      <c r="Z8" s="35"/>
      <c r="AA8" s="316"/>
      <c r="AB8" s="44"/>
      <c r="AC8" s="118">
        <v>0</v>
      </c>
      <c r="AD8" s="120">
        <v>0</v>
      </c>
      <c r="AE8" s="121">
        <v>0</v>
      </c>
      <c r="AF8" s="1052">
        <f>(AC8+AD8+AE8)/'Grondslag bouw &amp; infra'!$B$50</f>
        <v>0</v>
      </c>
      <c r="AG8" s="1040"/>
      <c r="AH8" s="522"/>
      <c r="AI8" s="1001">
        <v>2.3E-2</v>
      </c>
      <c r="AJ8" s="47"/>
      <c r="AK8" s="1008"/>
      <c r="AL8" s="47"/>
      <c r="AM8" s="9">
        <f>$AN$6*AN8</f>
        <v>0</v>
      </c>
      <c r="AN8" s="180"/>
      <c r="AO8" s="34"/>
      <c r="AP8" s="31"/>
      <c r="AQ8" s="30">
        <f>(P8*(AF8+AI8)+P8)</f>
        <v>19.63137</v>
      </c>
      <c r="AR8" s="47"/>
      <c r="AS8" s="43"/>
      <c r="AT8" s="29"/>
      <c r="AU8" s="138"/>
      <c r="AV8" s="29">
        <v>0.68</v>
      </c>
      <c r="AW8" s="29">
        <v>1.1000000000000001</v>
      </c>
      <c r="AX8" s="29">
        <v>0.48</v>
      </c>
      <c r="AY8" s="41">
        <f>SUM(AS8:AX8)</f>
        <v>2.2600000000000002</v>
      </c>
      <c r="AZ8" s="143" t="s">
        <v>215</v>
      </c>
      <c r="BA8" s="48"/>
      <c r="BB8" s="419">
        <f>657.14+15.56+48.42</f>
        <v>721.11999999999989</v>
      </c>
      <c r="BC8" s="419">
        <f>2516.24/4</f>
        <v>629.05999999999995</v>
      </c>
      <c r="BD8" s="419">
        <f>(BB8-(AY8*5))*(1-1%)</f>
        <v>702.72179999999992</v>
      </c>
      <c r="BE8" s="41">
        <f>BD8</f>
        <v>702.72179999999992</v>
      </c>
      <c r="BF8" s="1117">
        <f>BD8</f>
        <v>702.72179999999992</v>
      </c>
      <c r="BG8" s="568"/>
      <c r="BH8" s="289"/>
      <c r="BI8" s="583"/>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row>
    <row r="9" spans="1:217" s="4" customFormat="1">
      <c r="A9" s="289"/>
      <c r="B9" s="86"/>
      <c r="C9" s="143"/>
      <c r="D9" s="164"/>
      <c r="E9" s="29"/>
      <c r="F9" s="29"/>
      <c r="G9" s="263"/>
      <c r="H9" s="143"/>
      <c r="I9" s="32"/>
      <c r="J9" s="8"/>
      <c r="K9" s="7"/>
      <c r="L9" s="333"/>
      <c r="M9" s="38"/>
      <c r="N9" s="30"/>
      <c r="O9" s="29"/>
      <c r="P9" s="29"/>
      <c r="Q9" s="29"/>
      <c r="R9" s="29"/>
      <c r="S9" s="44"/>
      <c r="T9" s="32"/>
      <c r="U9" s="1052"/>
      <c r="V9" s="79"/>
      <c r="W9" s="80"/>
      <c r="X9" s="1052"/>
      <c r="Y9" s="298"/>
      <c r="Z9" s="35"/>
      <c r="AA9" s="316"/>
      <c r="AB9" s="44"/>
      <c r="AC9" s="32"/>
      <c r="AD9" s="79"/>
      <c r="AE9" s="80"/>
      <c r="AF9" s="1052"/>
      <c r="AG9" s="1041"/>
      <c r="AH9" s="522"/>
      <c r="AI9" s="1001"/>
      <c r="AJ9" s="47"/>
      <c r="AK9" s="584"/>
      <c r="AL9" s="47"/>
      <c r="AM9" s="9"/>
      <c r="AN9" s="180"/>
      <c r="AO9" s="34"/>
      <c r="AP9" s="31"/>
      <c r="AQ9" s="30"/>
      <c r="AR9" s="47"/>
      <c r="AS9" s="43"/>
      <c r="AT9" s="29"/>
      <c r="AU9" s="29"/>
      <c r="AV9" s="29"/>
      <c r="AW9" s="29"/>
      <c r="AX9" s="29"/>
      <c r="AY9" s="30"/>
      <c r="AZ9" s="143"/>
      <c r="BA9" s="48"/>
      <c r="BB9" s="419"/>
      <c r="BC9" s="419"/>
      <c r="BD9" s="419"/>
      <c r="BE9" s="30"/>
      <c r="BF9" s="1117"/>
      <c r="BG9" s="572"/>
      <c r="BH9" s="519"/>
      <c r="BI9" s="583"/>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row>
    <row r="10" spans="1:217" s="4" customFormat="1">
      <c r="A10" s="1185"/>
      <c r="B10" s="113"/>
      <c r="C10" s="137"/>
      <c r="D10" s="162"/>
      <c r="E10" s="162"/>
      <c r="F10" s="162"/>
      <c r="G10" s="265"/>
      <c r="H10" s="137"/>
      <c r="I10" s="137"/>
      <c r="J10" s="209"/>
      <c r="K10" s="210"/>
      <c r="L10" s="1223"/>
      <c r="M10" s="1224"/>
      <c r="N10" s="162"/>
      <c r="O10" s="1225"/>
      <c r="P10" s="162"/>
      <c r="Q10" s="329"/>
      <c r="R10" s="375"/>
      <c r="S10" s="82"/>
      <c r="T10" s="202"/>
      <c r="U10" s="1017"/>
      <c r="V10" s="202"/>
      <c r="W10" s="202"/>
      <c r="X10" s="1017"/>
      <c r="Y10" s="299"/>
      <c r="Z10" s="274"/>
      <c r="AA10" s="274"/>
      <c r="AB10" s="82"/>
      <c r="AC10" s="202"/>
      <c r="AD10" s="202"/>
      <c r="AE10" s="202"/>
      <c r="AF10" s="1053"/>
      <c r="AG10" s="1042"/>
      <c r="AH10" s="624"/>
      <c r="AI10" s="1002"/>
      <c r="AJ10" s="83"/>
      <c r="AK10" s="585"/>
      <c r="AL10" s="83"/>
      <c r="AM10" s="200"/>
      <c r="AN10" s="901"/>
      <c r="AO10" s="201"/>
      <c r="AP10" s="239"/>
      <c r="AQ10" s="624"/>
      <c r="AR10" s="83"/>
      <c r="AS10" s="305"/>
      <c r="AT10" s="200"/>
      <c r="AU10" s="200"/>
      <c r="AV10" s="200"/>
      <c r="AW10" s="200"/>
      <c r="AX10" s="200"/>
      <c r="AY10" s="201"/>
      <c r="AZ10" s="199"/>
      <c r="BA10" s="84"/>
      <c r="BB10" s="896"/>
      <c r="BC10" s="1090"/>
      <c r="BD10" s="887"/>
      <c r="BE10" s="168"/>
      <c r="BF10" s="1116"/>
      <c r="BG10" s="570"/>
      <c r="BH10" s="289"/>
      <c r="BI10" s="583"/>
      <c r="BJ10"/>
      <c r="BK10"/>
      <c r="BL10"/>
      <c r="BM10"/>
      <c r="BN10"/>
      <c r="BO10"/>
      <c r="BP10"/>
      <c r="BQ10"/>
      <c r="BR10"/>
      <c r="BS10"/>
      <c r="BT10"/>
    </row>
    <row r="11" spans="1:217" s="150" customFormat="1">
      <c r="A11" s="796"/>
      <c r="B11" s="86"/>
      <c r="C11" s="28"/>
      <c r="D11" s="337"/>
      <c r="E11" s="29"/>
      <c r="F11" s="29"/>
      <c r="G11" s="263"/>
      <c r="H11" s="8"/>
      <c r="I11" s="32"/>
      <c r="J11" s="8"/>
      <c r="K11" s="7"/>
      <c r="L11" s="333"/>
      <c r="M11" s="38"/>
      <c r="N11" s="30"/>
      <c r="O11" s="29"/>
      <c r="P11" s="29"/>
      <c r="Q11" s="29"/>
      <c r="R11" s="29"/>
      <c r="S11" s="44"/>
      <c r="T11" s="32"/>
      <c r="U11" s="1016"/>
      <c r="V11" s="79"/>
      <c r="W11" s="80"/>
      <c r="X11" s="1016"/>
      <c r="Y11" s="298"/>
      <c r="Z11" s="35"/>
      <c r="AA11" s="316"/>
      <c r="AB11" s="44"/>
      <c r="AC11" s="32"/>
      <c r="AD11" s="79"/>
      <c r="AE11" s="80"/>
      <c r="AF11" s="1052"/>
      <c r="AG11" s="1041"/>
      <c r="AH11" s="522"/>
      <c r="AI11" s="1001"/>
      <c r="AJ11" s="47"/>
      <c r="AK11" s="584"/>
      <c r="AL11" s="47"/>
      <c r="AM11" s="9"/>
      <c r="AN11" s="180"/>
      <c r="AO11" s="34"/>
      <c r="AP11" s="31"/>
      <c r="AQ11" s="706"/>
      <c r="AR11" s="47"/>
      <c r="AS11" s="43"/>
      <c r="AT11" s="29"/>
      <c r="AU11" s="29"/>
      <c r="AV11" s="29"/>
      <c r="AW11" s="29"/>
      <c r="AX11" s="29"/>
      <c r="AY11" s="30"/>
      <c r="AZ11" s="310"/>
      <c r="BA11" s="188"/>
      <c r="BB11" s="419"/>
      <c r="BC11" s="419"/>
      <c r="BD11" s="419"/>
      <c r="BE11" s="41"/>
      <c r="BF11" s="1118"/>
      <c r="BG11" s="571"/>
      <c r="BH11" s="289"/>
      <c r="BI11" s="583"/>
      <c r="BJ11" s="149"/>
      <c r="BK11" s="149"/>
      <c r="BL11" s="149"/>
      <c r="BM11" s="149"/>
      <c r="BN11" s="149"/>
      <c r="BO11" s="149"/>
      <c r="BP11" s="149"/>
      <c r="BQ11" s="149"/>
      <c r="BR11" s="149"/>
      <c r="BS11" s="149"/>
      <c r="BT11" s="149"/>
      <c r="BU11" s="149"/>
      <c r="BV11" s="149"/>
      <c r="BW11" s="149"/>
      <c r="BX11" s="149"/>
      <c r="BY11" s="149"/>
      <c r="BZ11" s="149"/>
      <c r="CA11" s="149"/>
      <c r="CB11" s="149"/>
      <c r="CC11" s="149"/>
      <c r="CD11" s="149"/>
      <c r="CE11" s="149"/>
      <c r="CF11" s="149"/>
      <c r="CG11" s="149"/>
      <c r="CH11" s="149"/>
      <c r="CI11" s="149"/>
      <c r="CJ11" s="149"/>
      <c r="CK11" s="149"/>
      <c r="CL11" s="149"/>
      <c r="CM11" s="149"/>
      <c r="CN11" s="149"/>
      <c r="CO11" s="149"/>
      <c r="CP11" s="149"/>
      <c r="CQ11" s="149"/>
      <c r="CR11" s="149"/>
      <c r="CS11" s="149"/>
      <c r="CT11" s="149"/>
      <c r="CU11" s="149"/>
      <c r="CV11" s="149"/>
      <c r="CW11" s="149"/>
      <c r="CX11" s="149"/>
      <c r="CY11" s="149"/>
      <c r="CZ11" s="149"/>
      <c r="DA11" s="149"/>
      <c r="DB11" s="149"/>
      <c r="DC11" s="149"/>
      <c r="DD11" s="149"/>
      <c r="DE11" s="149"/>
      <c r="DF11" s="149"/>
      <c r="DG11" s="149"/>
      <c r="DH11" s="149"/>
      <c r="DI11" s="149"/>
      <c r="DJ11" s="149"/>
      <c r="DK11" s="149"/>
      <c r="DL11" s="149"/>
      <c r="DM11" s="149"/>
      <c r="DN11" s="149"/>
      <c r="DO11" s="149"/>
      <c r="DP11" s="149"/>
      <c r="DQ11" s="149"/>
      <c r="DR11" s="149"/>
      <c r="DS11" s="149"/>
      <c r="DT11" s="149"/>
      <c r="DU11" s="149"/>
      <c r="DV11" s="149"/>
      <c r="DW11" s="149"/>
      <c r="DX11" s="149"/>
      <c r="DY11" s="149"/>
      <c r="DZ11" s="149"/>
      <c r="EA11" s="149"/>
      <c r="EB11" s="149"/>
      <c r="EC11" s="149"/>
      <c r="ED11" s="149"/>
      <c r="EE11" s="149"/>
      <c r="EF11" s="149"/>
      <c r="EG11" s="149"/>
      <c r="EH11" s="149"/>
      <c r="EI11" s="149"/>
      <c r="EJ11" s="149"/>
      <c r="EK11" s="149"/>
      <c r="EL11" s="149"/>
      <c r="EM11" s="149"/>
      <c r="EN11" s="149"/>
      <c r="EO11" s="149"/>
      <c r="EP11" s="149"/>
      <c r="EQ11" s="149"/>
      <c r="ER11" s="149"/>
      <c r="ES11" s="149"/>
      <c r="ET11" s="149"/>
      <c r="EU11" s="149"/>
      <c r="EV11" s="149"/>
      <c r="EW11" s="149"/>
      <c r="EX11" s="149"/>
      <c r="EY11" s="149"/>
      <c r="EZ11" s="149"/>
      <c r="FA11" s="149"/>
      <c r="FB11" s="149"/>
      <c r="FC11" s="149"/>
      <c r="FD11" s="149"/>
      <c r="FE11" s="149"/>
      <c r="FF11" s="149"/>
      <c r="FG11" s="149"/>
      <c r="FH11" s="149"/>
      <c r="FI11" s="149"/>
      <c r="FJ11" s="149"/>
      <c r="FK11" s="149"/>
      <c r="FL11" s="149"/>
      <c r="FM11" s="149"/>
      <c r="FN11" s="149"/>
      <c r="FO11" s="149"/>
      <c r="FP11" s="149"/>
      <c r="FQ11" s="149"/>
      <c r="FR11" s="149"/>
      <c r="FS11" s="149"/>
      <c r="FT11" s="149"/>
      <c r="FU11" s="149"/>
      <c r="FV11" s="149"/>
      <c r="FW11" s="149"/>
      <c r="FX11" s="149"/>
      <c r="FY11" s="149"/>
      <c r="FZ11" s="149"/>
      <c r="GA11" s="149"/>
      <c r="GB11" s="149"/>
      <c r="GC11" s="149"/>
      <c r="GD11" s="149"/>
      <c r="GE11" s="149"/>
      <c r="GF11" s="149"/>
      <c r="GG11" s="149"/>
      <c r="GH11" s="149"/>
      <c r="GI11" s="149"/>
      <c r="GJ11" s="149"/>
      <c r="GK11" s="149"/>
      <c r="GL11" s="149"/>
      <c r="GM11" s="149"/>
      <c r="GN11" s="149"/>
      <c r="GO11" s="149"/>
      <c r="GP11" s="149"/>
      <c r="GQ11" s="149"/>
      <c r="GR11" s="149"/>
      <c r="GS11" s="149"/>
      <c r="GT11" s="149"/>
      <c r="GU11" s="149"/>
      <c r="GV11" s="149"/>
      <c r="GW11" s="149"/>
      <c r="GX11" s="149"/>
      <c r="GY11" s="149"/>
      <c r="GZ11" s="149"/>
      <c r="HA11" s="149"/>
      <c r="HB11" s="149"/>
      <c r="HC11" s="149"/>
      <c r="HD11" s="149"/>
      <c r="HE11" s="149"/>
      <c r="HF11" s="149"/>
      <c r="HG11" s="149"/>
      <c r="HH11" s="149"/>
      <c r="HI11" s="149"/>
    </row>
    <row r="12" spans="1:217" s="289" customFormat="1">
      <c r="B12" s="86" t="s">
        <v>152</v>
      </c>
      <c r="C12" s="28"/>
      <c r="D12" s="164">
        <f>149.27+75.73</f>
        <v>225</v>
      </c>
      <c r="E12" s="29" t="s">
        <v>91</v>
      </c>
      <c r="F12" s="29" t="s">
        <v>114</v>
      </c>
      <c r="G12" s="263" t="s">
        <v>122</v>
      </c>
      <c r="H12" s="143" t="s">
        <v>154</v>
      </c>
      <c r="I12" s="32" t="s">
        <v>189</v>
      </c>
      <c r="J12" s="8" t="s">
        <v>243</v>
      </c>
      <c r="K12" s="7" t="s">
        <v>506</v>
      </c>
      <c r="L12" s="333">
        <v>14.71</v>
      </c>
      <c r="M12" s="38">
        <v>1.28</v>
      </c>
      <c r="N12" s="30">
        <f>L12+M12</f>
        <v>15.99</v>
      </c>
      <c r="O12" s="29"/>
      <c r="P12" s="29">
        <f>N12+O12</f>
        <v>15.99</v>
      </c>
      <c r="Q12" s="29"/>
      <c r="R12" s="29"/>
      <c r="S12" s="44"/>
      <c r="T12" s="32">
        <v>25</v>
      </c>
      <c r="U12" s="1052">
        <f>T12/'Grondslag bouw &amp; infra'!$B$50</f>
        <v>9.5785440613026823E-2</v>
      </c>
      <c r="V12" s="79">
        <v>0</v>
      </c>
      <c r="W12" s="80">
        <v>0</v>
      </c>
      <c r="X12" s="1052">
        <v>0</v>
      </c>
      <c r="Y12" s="298"/>
      <c r="Z12" s="35"/>
      <c r="AA12" s="316"/>
      <c r="AB12" s="44"/>
      <c r="AC12" s="32">
        <v>0</v>
      </c>
      <c r="AD12" s="79">
        <v>0</v>
      </c>
      <c r="AE12" s="80">
        <v>0</v>
      </c>
      <c r="AF12" s="1052">
        <f>(AC12+AD12+AE12)/'Grondslag bouw &amp; infra'!$B$50</f>
        <v>0</v>
      </c>
      <c r="AG12" s="1041"/>
      <c r="AH12" s="522"/>
      <c r="AI12" s="1001"/>
      <c r="AJ12" s="47"/>
      <c r="AK12" s="1008"/>
      <c r="AL12" s="47"/>
      <c r="AM12" s="9">
        <f>$AN$6*AN12</f>
        <v>0</v>
      </c>
      <c r="AN12" s="180"/>
      <c r="AO12" s="34"/>
      <c r="AP12" s="31"/>
      <c r="AQ12" s="30"/>
      <c r="AR12" s="47"/>
      <c r="AS12" s="29"/>
      <c r="AT12" s="29"/>
      <c r="AU12" s="29"/>
      <c r="AV12" s="29"/>
      <c r="AW12" s="29">
        <v>1.6</v>
      </c>
      <c r="AX12" s="29"/>
      <c r="AY12" s="30">
        <f>SUM(AS12:AX12)</f>
        <v>1.6</v>
      </c>
      <c r="AZ12" s="143" t="s">
        <v>161</v>
      </c>
      <c r="BA12" s="188"/>
      <c r="BB12" s="419">
        <f>627.22+2.83+20+5.11</f>
        <v>655.16000000000008</v>
      </c>
      <c r="BC12" s="419">
        <f>2232.35/4</f>
        <v>558.08749999999998</v>
      </c>
      <c r="BD12" s="419">
        <f>(BB12-(AY12*5))*(1-1%)</f>
        <v>640.68840000000012</v>
      </c>
      <c r="BE12" s="30">
        <f>BD12</f>
        <v>640.68840000000012</v>
      </c>
      <c r="BF12" s="1117">
        <f>BD12</f>
        <v>640.68840000000012</v>
      </c>
      <c r="BG12" s="572"/>
      <c r="BI12" s="588"/>
    </row>
    <row r="13" spans="1:217" s="150" customFormat="1">
      <c r="A13" s="1186"/>
      <c r="B13" s="617"/>
      <c r="C13" s="202"/>
      <c r="D13" s="201"/>
      <c r="E13" s="168"/>
      <c r="F13" s="200"/>
      <c r="G13" s="267"/>
      <c r="H13" s="199"/>
      <c r="I13" s="202"/>
      <c r="J13" s="199"/>
      <c r="K13" s="599"/>
      <c r="L13" s="325"/>
      <c r="M13" s="218"/>
      <c r="N13" s="162"/>
      <c r="O13" s="200"/>
      <c r="P13" s="200"/>
      <c r="Q13" s="200"/>
      <c r="R13" s="200"/>
      <c r="S13" s="192"/>
      <c r="T13" s="202"/>
      <c r="U13" s="1017"/>
      <c r="V13" s="202"/>
      <c r="W13" s="202"/>
      <c r="X13" s="1017"/>
      <c r="Y13" s="299"/>
      <c r="Z13" s="274"/>
      <c r="AA13" s="274"/>
      <c r="AB13" s="237"/>
      <c r="AC13" s="202"/>
      <c r="AD13" s="202"/>
      <c r="AE13" s="202"/>
      <c r="AF13" s="1053"/>
      <c r="AG13" s="1042"/>
      <c r="AH13" s="624"/>
      <c r="AI13" s="1002"/>
      <c r="AJ13" s="238"/>
      <c r="AK13" s="585"/>
      <c r="AL13" s="238"/>
      <c r="AM13" s="200"/>
      <c r="AN13" s="901"/>
      <c r="AO13" s="201"/>
      <c r="AP13" s="239"/>
      <c r="AQ13" s="624"/>
      <c r="AR13" s="238"/>
      <c r="AS13" s="305"/>
      <c r="AT13" s="200"/>
      <c r="AU13" s="200"/>
      <c r="AV13" s="200"/>
      <c r="AW13" s="200"/>
      <c r="AX13" s="200"/>
      <c r="AY13" s="201"/>
      <c r="AZ13" s="199"/>
      <c r="BA13" s="194"/>
      <c r="BB13" s="884"/>
      <c r="BC13" s="884"/>
      <c r="BD13" s="884"/>
      <c r="BE13" s="162"/>
      <c r="BF13" s="1119"/>
      <c r="BG13" s="570"/>
      <c r="BH13" s="289"/>
      <c r="BI13" s="583"/>
      <c r="BJ13" s="149"/>
      <c r="BK13" s="149"/>
      <c r="BL13" s="149"/>
      <c r="BM13" s="149"/>
      <c r="BN13" s="149"/>
      <c r="BO13" s="149"/>
      <c r="BP13" s="149"/>
      <c r="BQ13" s="149"/>
      <c r="BR13" s="149"/>
      <c r="BS13" s="149"/>
      <c r="BT13" s="149"/>
      <c r="BU13" s="149"/>
      <c r="BV13" s="149"/>
      <c r="BW13" s="149"/>
      <c r="BX13" s="149"/>
      <c r="BY13" s="149"/>
      <c r="BZ13" s="149"/>
      <c r="CA13" s="149"/>
      <c r="CB13" s="149"/>
      <c r="CC13" s="149"/>
      <c r="CD13" s="149"/>
      <c r="CE13" s="149"/>
      <c r="CF13" s="149"/>
      <c r="CG13" s="149"/>
      <c r="CH13" s="149"/>
      <c r="CI13" s="149"/>
      <c r="CJ13" s="149"/>
      <c r="CK13" s="149"/>
      <c r="CL13" s="149"/>
      <c r="CM13" s="149"/>
      <c r="CN13" s="149"/>
      <c r="CO13" s="149"/>
      <c r="CP13" s="149"/>
      <c r="CQ13" s="149"/>
      <c r="CR13" s="149"/>
      <c r="CS13" s="149"/>
      <c r="CT13" s="149"/>
      <c r="CU13" s="149"/>
      <c r="CV13" s="149"/>
      <c r="CW13" s="149"/>
      <c r="CX13" s="149"/>
      <c r="CY13" s="149"/>
      <c r="CZ13" s="149"/>
      <c r="DA13" s="149"/>
      <c r="DB13" s="149"/>
      <c r="DC13" s="149"/>
      <c r="DD13" s="149"/>
      <c r="DE13" s="149"/>
      <c r="DF13" s="149"/>
      <c r="DG13" s="149"/>
      <c r="DH13" s="149"/>
      <c r="DI13" s="149"/>
      <c r="DJ13" s="149"/>
      <c r="DK13" s="149"/>
      <c r="DL13" s="149"/>
      <c r="DM13" s="149"/>
      <c r="DN13" s="149"/>
      <c r="DO13" s="149"/>
      <c r="DP13" s="149"/>
      <c r="DQ13" s="149"/>
      <c r="DR13" s="149"/>
      <c r="DS13" s="149"/>
      <c r="DT13" s="149"/>
      <c r="DU13" s="149"/>
      <c r="DV13" s="149"/>
      <c r="DW13" s="149"/>
      <c r="DX13" s="149"/>
      <c r="DY13" s="149"/>
      <c r="DZ13" s="149"/>
      <c r="EA13" s="149"/>
      <c r="EB13" s="149"/>
      <c r="EC13" s="149"/>
      <c r="ED13" s="149"/>
      <c r="EE13" s="149"/>
      <c r="EF13" s="149"/>
      <c r="EG13" s="149"/>
      <c r="EH13" s="149"/>
      <c r="EI13" s="149"/>
      <c r="EJ13" s="149"/>
      <c r="EK13" s="149"/>
      <c r="EL13" s="149"/>
      <c r="EM13" s="149"/>
      <c r="EN13" s="149"/>
      <c r="EO13" s="149"/>
      <c r="EP13" s="149"/>
      <c r="EQ13" s="149"/>
      <c r="ER13" s="149"/>
      <c r="ES13" s="149"/>
      <c r="ET13" s="149"/>
      <c r="EU13" s="149"/>
      <c r="EV13" s="149"/>
      <c r="EW13" s="149"/>
      <c r="EX13" s="149"/>
      <c r="EY13" s="149"/>
      <c r="EZ13" s="149"/>
      <c r="FA13" s="149"/>
      <c r="FB13" s="149"/>
      <c r="FC13" s="149"/>
      <c r="FD13" s="149"/>
      <c r="FE13" s="149"/>
      <c r="FF13" s="149"/>
      <c r="FG13" s="149"/>
      <c r="FH13" s="149"/>
      <c r="FI13" s="149"/>
      <c r="FJ13" s="149"/>
      <c r="FK13" s="149"/>
      <c r="FL13" s="149"/>
      <c r="FM13" s="149"/>
      <c r="FN13" s="149"/>
      <c r="FO13" s="149"/>
      <c r="FP13" s="149"/>
      <c r="FQ13" s="149"/>
      <c r="FR13" s="149"/>
      <c r="FS13" s="149"/>
      <c r="FT13" s="149"/>
      <c r="FU13" s="149"/>
      <c r="FV13" s="149"/>
      <c r="FW13" s="149"/>
      <c r="FX13" s="149"/>
      <c r="FY13" s="149"/>
      <c r="FZ13" s="149"/>
      <c r="GA13" s="149"/>
      <c r="GB13" s="149"/>
      <c r="GC13" s="149"/>
      <c r="GD13" s="149"/>
      <c r="GE13" s="149"/>
      <c r="GF13" s="149"/>
      <c r="GG13" s="149"/>
      <c r="GH13" s="149"/>
      <c r="GI13" s="149"/>
      <c r="GJ13" s="149"/>
      <c r="GK13" s="149"/>
      <c r="GL13" s="149"/>
      <c r="GM13" s="149"/>
      <c r="GN13" s="149"/>
      <c r="GO13" s="149"/>
      <c r="GP13" s="149"/>
      <c r="GQ13" s="149"/>
      <c r="GR13" s="149"/>
      <c r="GS13" s="149"/>
      <c r="GT13" s="149"/>
      <c r="GU13" s="149"/>
      <c r="GV13" s="149"/>
      <c r="GW13" s="149"/>
      <c r="GX13" s="149"/>
      <c r="GY13" s="149"/>
      <c r="GZ13" s="149"/>
      <c r="HA13" s="149"/>
      <c r="HB13" s="149"/>
      <c r="HC13" s="149"/>
      <c r="HD13" s="149"/>
      <c r="HE13" s="149"/>
      <c r="HF13" s="149"/>
      <c r="HG13" s="149"/>
      <c r="HH13" s="149"/>
      <c r="HI13" s="149"/>
    </row>
    <row r="14" spans="1:217" s="150" customFormat="1">
      <c r="A14" s="289"/>
      <c r="B14" s="86"/>
      <c r="C14" s="28"/>
      <c r="D14" s="164"/>
      <c r="E14" s="29"/>
      <c r="F14" s="29"/>
      <c r="G14" s="263"/>
      <c r="H14" s="143"/>
      <c r="I14" s="32"/>
      <c r="J14" s="8"/>
      <c r="K14" s="12"/>
      <c r="L14" s="333"/>
      <c r="M14" s="38"/>
      <c r="N14" s="30"/>
      <c r="O14" s="29"/>
      <c r="P14" s="29"/>
      <c r="Q14" s="29"/>
      <c r="R14" s="29"/>
      <c r="S14" s="301"/>
      <c r="T14" s="32"/>
      <c r="U14" s="1052"/>
      <c r="V14" s="79"/>
      <c r="W14" s="80"/>
      <c r="X14" s="1052"/>
      <c r="Y14" s="298"/>
      <c r="Z14" s="35"/>
      <c r="AA14" s="316"/>
      <c r="AB14" s="301"/>
      <c r="AC14" s="32"/>
      <c r="AD14" s="79"/>
      <c r="AE14" s="80"/>
      <c r="AF14" s="1052"/>
      <c r="AG14" s="1041"/>
      <c r="AH14" s="522"/>
      <c r="AI14" s="1001"/>
      <c r="AJ14" s="302"/>
      <c r="AK14" s="1008"/>
      <c r="AL14" s="302"/>
      <c r="AM14" s="9"/>
      <c r="AN14" s="180"/>
      <c r="AO14" s="34"/>
      <c r="AP14" s="31"/>
      <c r="AQ14" s="30"/>
      <c r="AR14" s="302"/>
      <c r="AS14" s="43"/>
      <c r="AT14" s="9"/>
      <c r="AU14" s="9"/>
      <c r="AV14" s="29"/>
      <c r="AW14" s="29"/>
      <c r="AX14" s="29"/>
      <c r="AY14" s="30"/>
      <c r="AZ14" s="143"/>
      <c r="BA14" s="188"/>
      <c r="BB14" s="419"/>
      <c r="BC14" s="419"/>
      <c r="BD14" s="419"/>
      <c r="BE14" s="30"/>
      <c r="BF14" s="1117"/>
      <c r="BG14" s="572"/>
      <c r="BH14" s="289"/>
      <c r="BI14" s="586"/>
      <c r="BJ14" s="149"/>
      <c r="BK14" s="149"/>
      <c r="BL14" s="149"/>
      <c r="BM14" s="149"/>
      <c r="BN14" s="149"/>
      <c r="BO14" s="149"/>
      <c r="BP14" s="149"/>
      <c r="BQ14" s="149"/>
      <c r="BR14" s="149"/>
      <c r="BS14" s="149"/>
      <c r="BT14" s="149"/>
      <c r="BU14" s="149"/>
      <c r="BV14" s="149"/>
      <c r="BW14" s="149"/>
      <c r="BX14" s="149"/>
      <c r="BY14" s="149"/>
      <c r="BZ14" s="149"/>
      <c r="CA14" s="149"/>
      <c r="CB14" s="149"/>
      <c r="CC14" s="149"/>
      <c r="CD14" s="149"/>
      <c r="CE14" s="149"/>
      <c r="CF14" s="149"/>
      <c r="CG14" s="149"/>
      <c r="CH14" s="149"/>
      <c r="CI14" s="149"/>
      <c r="CJ14" s="149"/>
      <c r="CK14" s="149"/>
      <c r="CL14" s="149"/>
      <c r="CM14" s="149"/>
      <c r="CN14" s="149"/>
      <c r="CO14" s="149"/>
      <c r="CP14" s="149"/>
      <c r="CQ14" s="149"/>
      <c r="CR14" s="149"/>
      <c r="CS14" s="149"/>
      <c r="CT14" s="149"/>
      <c r="CU14" s="149"/>
      <c r="CV14" s="149"/>
      <c r="CW14" s="149"/>
      <c r="CX14" s="149"/>
      <c r="CY14" s="149"/>
      <c r="CZ14" s="149"/>
      <c r="DA14" s="149"/>
      <c r="DB14" s="149"/>
      <c r="DC14" s="149"/>
      <c r="DD14" s="149"/>
      <c r="DE14" s="149"/>
      <c r="DF14" s="149"/>
      <c r="DG14" s="149"/>
      <c r="DH14" s="149"/>
      <c r="DI14" s="149"/>
      <c r="DJ14" s="149"/>
      <c r="DK14" s="149"/>
      <c r="DL14" s="149"/>
      <c r="DM14" s="149"/>
      <c r="DN14" s="149"/>
      <c r="DO14" s="149"/>
      <c r="DP14" s="149"/>
      <c r="DQ14" s="149"/>
      <c r="DR14" s="149"/>
      <c r="DS14" s="149"/>
      <c r="DT14" s="149"/>
      <c r="DU14" s="149"/>
      <c r="DV14" s="149"/>
      <c r="DW14" s="149"/>
      <c r="DX14" s="149"/>
      <c r="DY14" s="149"/>
      <c r="DZ14" s="149"/>
      <c r="EA14" s="149"/>
      <c r="EB14" s="149"/>
      <c r="EC14" s="149"/>
      <c r="ED14" s="149"/>
      <c r="EE14" s="149"/>
      <c r="EF14" s="149"/>
      <c r="EG14" s="149"/>
      <c r="EH14" s="149"/>
      <c r="EI14" s="149"/>
      <c r="EJ14" s="149"/>
      <c r="EK14" s="149"/>
      <c r="EL14" s="149"/>
      <c r="EM14" s="149"/>
      <c r="EN14" s="149"/>
      <c r="EO14" s="149"/>
      <c r="EP14" s="149"/>
      <c r="EQ14" s="149"/>
      <c r="ER14" s="149"/>
      <c r="ES14" s="149"/>
      <c r="ET14" s="149"/>
      <c r="EU14" s="149"/>
      <c r="EV14" s="149"/>
      <c r="EW14" s="149"/>
      <c r="EX14" s="149"/>
      <c r="EY14" s="149"/>
      <c r="EZ14" s="149"/>
      <c r="FA14" s="149"/>
      <c r="FB14" s="149"/>
      <c r="FC14" s="149"/>
      <c r="FD14" s="149"/>
      <c r="FE14" s="149"/>
      <c r="FF14" s="149"/>
      <c r="FG14" s="149"/>
      <c r="FH14" s="149"/>
      <c r="FI14" s="149"/>
      <c r="FJ14" s="149"/>
      <c r="FK14" s="149"/>
      <c r="FL14" s="149"/>
      <c r="FM14" s="149"/>
      <c r="FN14" s="149"/>
      <c r="FO14" s="149"/>
      <c r="FP14" s="149"/>
      <c r="FQ14" s="149"/>
      <c r="FR14" s="149"/>
      <c r="FS14" s="149"/>
      <c r="FT14" s="149"/>
      <c r="FU14" s="149"/>
      <c r="FV14" s="149"/>
      <c r="FW14" s="149"/>
      <c r="FX14" s="149"/>
      <c r="FY14" s="149"/>
      <c r="FZ14" s="149"/>
      <c r="GA14" s="149"/>
      <c r="GB14" s="149"/>
      <c r="GC14" s="149"/>
      <c r="GD14" s="149"/>
      <c r="GE14" s="149"/>
      <c r="GF14" s="149"/>
      <c r="GG14" s="149"/>
      <c r="GH14" s="149"/>
      <c r="GI14" s="149"/>
      <c r="GJ14" s="149"/>
      <c r="GK14" s="149"/>
      <c r="GL14" s="149"/>
      <c r="GM14" s="149"/>
      <c r="GN14" s="149"/>
      <c r="GO14" s="149"/>
      <c r="GP14" s="149"/>
      <c r="GQ14" s="149"/>
      <c r="GR14" s="149"/>
      <c r="GS14" s="149"/>
      <c r="GT14" s="149"/>
      <c r="GU14" s="149"/>
      <c r="GV14" s="149"/>
      <c r="GW14" s="149"/>
      <c r="GX14" s="149"/>
      <c r="GY14" s="149"/>
      <c r="GZ14" s="149"/>
      <c r="HA14" s="149"/>
      <c r="HB14" s="149"/>
      <c r="HC14" s="149"/>
      <c r="HD14" s="149"/>
      <c r="HE14" s="149"/>
      <c r="HF14" s="149"/>
      <c r="HG14" s="149"/>
      <c r="HH14" s="149"/>
      <c r="HI14" s="149"/>
    </row>
    <row r="15" spans="1:217" s="150" customFormat="1">
      <c r="A15" s="796"/>
      <c r="B15" s="86" t="s">
        <v>393</v>
      </c>
      <c r="C15" s="28"/>
      <c r="D15" s="164">
        <f>-542.79+1051.64+223.9</f>
        <v>732.75000000000011</v>
      </c>
      <c r="E15" s="29" t="s">
        <v>109</v>
      </c>
      <c r="F15" s="29" t="s">
        <v>97</v>
      </c>
      <c r="G15" s="263" t="s">
        <v>85</v>
      </c>
      <c r="H15" s="143" t="s">
        <v>10</v>
      </c>
      <c r="I15" s="32" t="s">
        <v>362</v>
      </c>
      <c r="J15" s="8" t="s">
        <v>174</v>
      </c>
      <c r="K15" s="7" t="s">
        <v>374</v>
      </c>
      <c r="L15" s="333">
        <v>19.190000000000001</v>
      </c>
      <c r="M15" s="38"/>
      <c r="N15" s="30">
        <f>L15+M15</f>
        <v>19.190000000000001</v>
      </c>
      <c r="O15" s="29"/>
      <c r="P15" s="29">
        <f>N15+O15</f>
        <v>19.190000000000001</v>
      </c>
      <c r="Q15" s="29"/>
      <c r="R15" s="29"/>
      <c r="S15" s="301"/>
      <c r="T15" s="32">
        <v>25</v>
      </c>
      <c r="U15" s="1052">
        <f>T15/'Grondslag bouw &amp; infra'!$B$50</f>
        <v>9.5785440613026823E-2</v>
      </c>
      <c r="V15" s="79">
        <v>15</v>
      </c>
      <c r="W15" s="80">
        <v>0</v>
      </c>
      <c r="X15" s="1052">
        <f>(V15+W15)/'Grondslag bouw &amp; infra'!$B$50</f>
        <v>5.7471264367816091E-2</v>
      </c>
      <c r="Y15" s="374"/>
      <c r="Z15" s="35"/>
      <c r="AA15" s="316"/>
      <c r="AB15" s="301"/>
      <c r="AC15" s="32">
        <v>0</v>
      </c>
      <c r="AD15" s="79">
        <v>0</v>
      </c>
      <c r="AE15" s="80">
        <v>0</v>
      </c>
      <c r="AF15" s="1052">
        <f>(AC15+AD15+AE15)/'Grondslag bouw &amp; infra'!$B$50</f>
        <v>0</v>
      </c>
      <c r="AG15" s="1041"/>
      <c r="AH15" s="522"/>
      <c r="AI15" s="1001">
        <v>2.3E-2</v>
      </c>
      <c r="AJ15" s="302"/>
      <c r="AK15" s="1008"/>
      <c r="AL15" s="302"/>
      <c r="AM15" s="9">
        <f>$AN$6*AN15</f>
        <v>0</v>
      </c>
      <c r="AN15" s="180"/>
      <c r="AO15" s="34"/>
      <c r="AP15" s="31"/>
      <c r="AQ15" s="30">
        <f>(P15*(AF15+AI15)+P15)</f>
        <v>19.63137</v>
      </c>
      <c r="AR15" s="302"/>
      <c r="AS15" s="43"/>
      <c r="AT15" s="9"/>
      <c r="AU15" s="9"/>
      <c r="AV15" s="29">
        <v>0.68</v>
      </c>
      <c r="AW15" s="29">
        <v>1.1000000000000001</v>
      </c>
      <c r="AX15" s="29">
        <v>0.48</v>
      </c>
      <c r="AY15" s="30">
        <f>SUM(AS15:AX15)</f>
        <v>2.2600000000000002</v>
      </c>
      <c r="AZ15" s="143" t="s">
        <v>245</v>
      </c>
      <c r="BA15" s="188"/>
      <c r="BB15" s="419">
        <f>645+10.22+48.44</f>
        <v>703.66000000000008</v>
      </c>
      <c r="BC15" s="419">
        <f>2472.26/4</f>
        <v>618.06500000000005</v>
      </c>
      <c r="BD15" s="419">
        <f>(BB15-(AY15*5))*(1-1%)</f>
        <v>685.43640000000016</v>
      </c>
      <c r="BE15" s="30">
        <f>BD15</f>
        <v>685.43640000000016</v>
      </c>
      <c r="BF15" s="1117">
        <f>BD15</f>
        <v>685.43640000000016</v>
      </c>
      <c r="BG15" s="572"/>
      <c r="BH15" s="289"/>
      <c r="BI15" s="586"/>
      <c r="BJ15" s="149"/>
      <c r="BK15" s="149"/>
      <c r="BL15" s="149"/>
      <c r="BM15" s="149"/>
      <c r="BN15" s="149"/>
      <c r="BO15" s="149"/>
      <c r="BP15" s="149"/>
      <c r="BQ15" s="149"/>
      <c r="BR15" s="149"/>
      <c r="BS15" s="149"/>
      <c r="BT15" s="149"/>
      <c r="BU15" s="149"/>
      <c r="BV15" s="149"/>
      <c r="BW15" s="149"/>
      <c r="BX15" s="149"/>
      <c r="BY15" s="149"/>
      <c r="BZ15" s="149"/>
      <c r="CA15" s="149"/>
      <c r="CB15" s="149"/>
      <c r="CC15" s="149"/>
      <c r="CD15" s="149"/>
      <c r="CE15" s="149"/>
      <c r="CF15" s="149"/>
      <c r="CG15" s="149"/>
      <c r="CH15" s="149"/>
      <c r="CI15" s="149"/>
      <c r="CJ15" s="149"/>
      <c r="CK15" s="149"/>
      <c r="CL15" s="149"/>
      <c r="CM15" s="149"/>
      <c r="CN15" s="149"/>
      <c r="CO15" s="149"/>
      <c r="CP15" s="149"/>
      <c r="CQ15" s="149"/>
      <c r="CR15" s="149"/>
      <c r="CS15" s="149"/>
      <c r="CT15" s="149"/>
      <c r="CU15" s="149"/>
      <c r="CV15" s="149"/>
      <c r="CW15" s="149"/>
      <c r="CX15" s="149"/>
      <c r="CY15" s="149"/>
      <c r="CZ15" s="149"/>
      <c r="DA15" s="149"/>
      <c r="DB15" s="149"/>
      <c r="DC15" s="149"/>
      <c r="DD15" s="149"/>
      <c r="DE15" s="149"/>
      <c r="DF15" s="149"/>
      <c r="DG15" s="149"/>
      <c r="DH15" s="149"/>
      <c r="DI15" s="149"/>
      <c r="DJ15" s="149"/>
      <c r="DK15" s="149"/>
      <c r="DL15" s="149"/>
      <c r="DM15" s="149"/>
      <c r="DN15" s="149"/>
      <c r="DO15" s="149"/>
      <c r="DP15" s="149"/>
      <c r="DQ15" s="149"/>
      <c r="DR15" s="149"/>
      <c r="DS15" s="149"/>
      <c r="DT15" s="149"/>
      <c r="DU15" s="149"/>
      <c r="DV15" s="149"/>
      <c r="DW15" s="149"/>
      <c r="DX15" s="149"/>
      <c r="DY15" s="149"/>
      <c r="DZ15" s="149"/>
      <c r="EA15" s="149"/>
      <c r="EB15" s="149"/>
      <c r="EC15" s="149"/>
      <c r="ED15" s="149"/>
      <c r="EE15" s="149"/>
      <c r="EF15" s="149"/>
      <c r="EG15" s="149"/>
      <c r="EH15" s="149"/>
      <c r="EI15" s="149"/>
      <c r="EJ15" s="149"/>
      <c r="EK15" s="149"/>
      <c r="EL15" s="149"/>
      <c r="EM15" s="149"/>
      <c r="EN15" s="149"/>
      <c r="EO15" s="149"/>
      <c r="EP15" s="149"/>
      <c r="EQ15" s="149"/>
      <c r="ER15" s="149"/>
      <c r="ES15" s="149"/>
      <c r="ET15" s="149"/>
      <c r="EU15" s="149"/>
      <c r="EV15" s="149"/>
      <c r="EW15" s="149"/>
      <c r="EX15" s="149"/>
      <c r="EY15" s="149"/>
      <c r="EZ15" s="149"/>
      <c r="FA15" s="149"/>
      <c r="FB15" s="149"/>
      <c r="FC15" s="149"/>
      <c r="FD15" s="149"/>
      <c r="FE15" s="149"/>
      <c r="FF15" s="149"/>
      <c r="FG15" s="149"/>
      <c r="FH15" s="149"/>
      <c r="FI15" s="149"/>
      <c r="FJ15" s="149"/>
      <c r="FK15" s="149"/>
      <c r="FL15" s="149"/>
      <c r="FM15" s="149"/>
      <c r="FN15" s="149"/>
      <c r="FO15" s="149"/>
      <c r="FP15" s="149"/>
      <c r="FQ15" s="149"/>
      <c r="FR15" s="149"/>
      <c r="FS15" s="149"/>
      <c r="FT15" s="149"/>
      <c r="FU15" s="149"/>
      <c r="FV15" s="149"/>
      <c r="FW15" s="149"/>
      <c r="FX15" s="149"/>
      <c r="FY15" s="149"/>
      <c r="FZ15" s="149"/>
      <c r="GA15" s="149"/>
      <c r="GB15" s="149"/>
      <c r="GC15" s="149"/>
      <c r="GD15" s="149"/>
      <c r="GE15" s="149"/>
      <c r="GF15" s="149"/>
      <c r="GG15" s="149"/>
      <c r="GH15" s="149"/>
      <c r="GI15" s="149"/>
      <c r="GJ15" s="149"/>
      <c r="GK15" s="149"/>
      <c r="GL15" s="149"/>
      <c r="GM15" s="149"/>
      <c r="GN15" s="149"/>
      <c r="GO15" s="149"/>
      <c r="GP15" s="149"/>
      <c r="GQ15" s="149"/>
      <c r="GR15" s="149"/>
      <c r="GS15" s="149"/>
      <c r="GT15" s="149"/>
      <c r="GU15" s="149"/>
      <c r="GV15" s="149"/>
      <c r="GW15" s="149"/>
      <c r="GX15" s="149"/>
      <c r="GY15" s="149"/>
      <c r="GZ15" s="149"/>
      <c r="HA15" s="149"/>
      <c r="HB15" s="149"/>
      <c r="HC15" s="149"/>
      <c r="HD15" s="149"/>
      <c r="HE15" s="149"/>
      <c r="HF15" s="149"/>
      <c r="HG15" s="149"/>
      <c r="HH15" s="149"/>
      <c r="HI15" s="149"/>
    </row>
    <row r="16" spans="1:217" s="150" customFormat="1">
      <c r="A16" s="1186"/>
      <c r="B16" s="617"/>
      <c r="C16" s="202"/>
      <c r="D16" s="163"/>
      <c r="E16" s="168"/>
      <c r="F16" s="200"/>
      <c r="G16" s="267"/>
      <c r="H16" s="199" t="s">
        <v>32</v>
      </c>
      <c r="I16" s="202" t="s">
        <v>58</v>
      </c>
      <c r="J16" s="296"/>
      <c r="K16" s="600"/>
      <c r="L16" s="335"/>
      <c r="M16" s="218"/>
      <c r="N16" s="162"/>
      <c r="O16" s="200">
        <f t="shared" ref="O16" si="0">N16*1.16%</f>
        <v>0</v>
      </c>
      <c r="P16" s="29"/>
      <c r="Q16" s="200"/>
      <c r="R16" s="200"/>
      <c r="S16" s="237"/>
      <c r="T16" s="169"/>
      <c r="U16" s="1021"/>
      <c r="V16" s="170"/>
      <c r="W16" s="202"/>
      <c r="X16" s="1017"/>
      <c r="Y16" s="299"/>
      <c r="Z16" s="274"/>
      <c r="AA16" s="317"/>
      <c r="AB16" s="237"/>
      <c r="AC16" s="202"/>
      <c r="AD16" s="202"/>
      <c r="AE16" s="202"/>
      <c r="AF16" s="1053"/>
      <c r="AG16" s="1042"/>
      <c r="AH16" s="624"/>
      <c r="AI16" s="1002"/>
      <c r="AJ16" s="238"/>
      <c r="AK16" s="585"/>
      <c r="AL16" s="238"/>
      <c r="AM16" s="200"/>
      <c r="AN16" s="901"/>
      <c r="AO16" s="201"/>
      <c r="AP16" s="239"/>
      <c r="AQ16" s="624"/>
      <c r="AR16" s="238"/>
      <c r="AS16" s="305">
        <v>0.26</v>
      </c>
      <c r="AT16" s="200"/>
      <c r="AU16" s="200"/>
      <c r="AV16" s="200"/>
      <c r="AW16" s="200"/>
      <c r="AX16" s="200"/>
      <c r="AY16" s="201"/>
      <c r="AZ16" s="151"/>
      <c r="BA16" s="240"/>
      <c r="BB16" s="884"/>
      <c r="BC16" s="1088"/>
      <c r="BD16" s="884"/>
      <c r="BE16" s="162"/>
      <c r="BF16" s="1119"/>
      <c r="BG16" s="570"/>
      <c r="BH16" s="289"/>
      <c r="BI16" s="583"/>
      <c r="BJ16" s="149"/>
      <c r="BK16" s="149"/>
      <c r="BL16" s="149"/>
      <c r="BM16" s="149"/>
      <c r="BN16" s="149"/>
      <c r="BO16" s="149"/>
      <c r="BP16" s="149"/>
      <c r="BQ16" s="149"/>
      <c r="BR16" s="149"/>
      <c r="BS16" s="149"/>
      <c r="BT16" s="149"/>
      <c r="BU16" s="149"/>
      <c r="BV16" s="149"/>
      <c r="BW16" s="149"/>
      <c r="BX16" s="149"/>
      <c r="BY16" s="149"/>
      <c r="BZ16" s="149"/>
      <c r="CA16" s="149"/>
      <c r="CB16" s="149"/>
      <c r="CC16" s="149"/>
      <c r="CD16" s="149"/>
      <c r="CE16" s="149"/>
      <c r="CF16" s="149"/>
      <c r="CG16" s="149"/>
      <c r="CH16" s="149"/>
      <c r="CI16" s="149"/>
      <c r="CJ16" s="149"/>
      <c r="CK16" s="149"/>
      <c r="CL16" s="149"/>
      <c r="CM16" s="149"/>
      <c r="CN16" s="149"/>
      <c r="CO16" s="149"/>
      <c r="CP16" s="149"/>
      <c r="CQ16" s="149"/>
      <c r="CR16" s="149"/>
      <c r="CS16" s="149"/>
      <c r="CT16" s="149"/>
      <c r="CU16" s="149"/>
      <c r="CV16" s="149"/>
      <c r="CW16" s="149"/>
      <c r="CX16" s="149"/>
      <c r="CY16" s="149"/>
      <c r="CZ16" s="149"/>
      <c r="DA16" s="149"/>
      <c r="DB16" s="149"/>
      <c r="DC16" s="149"/>
      <c r="DD16" s="149"/>
      <c r="DE16" s="149"/>
      <c r="DF16" s="149"/>
      <c r="DG16" s="149"/>
      <c r="DH16" s="149"/>
      <c r="DI16" s="149"/>
      <c r="DJ16" s="149"/>
      <c r="DK16" s="149"/>
      <c r="DL16" s="149"/>
      <c r="DM16" s="149"/>
      <c r="DN16" s="149"/>
      <c r="DO16" s="149"/>
      <c r="DP16" s="149"/>
      <c r="DQ16" s="149"/>
      <c r="DR16" s="149"/>
      <c r="DS16" s="149"/>
      <c r="DT16" s="149"/>
      <c r="DU16" s="149"/>
      <c r="DV16" s="149"/>
      <c r="DW16" s="149"/>
      <c r="DX16" s="149"/>
      <c r="DY16" s="149"/>
      <c r="DZ16" s="149"/>
      <c r="EA16" s="149"/>
      <c r="EB16" s="149"/>
      <c r="EC16" s="149"/>
      <c r="ED16" s="149"/>
      <c r="EE16" s="149"/>
      <c r="EF16" s="149"/>
      <c r="EG16" s="149"/>
      <c r="EH16" s="149"/>
      <c r="EI16" s="149"/>
      <c r="EJ16" s="149"/>
      <c r="EK16" s="149"/>
      <c r="EL16" s="149"/>
      <c r="EM16" s="149"/>
      <c r="EN16" s="149"/>
      <c r="EO16" s="149"/>
      <c r="EP16" s="149"/>
      <c r="EQ16" s="149"/>
      <c r="ER16" s="149"/>
      <c r="ES16" s="149"/>
      <c r="ET16" s="149"/>
      <c r="EU16" s="149"/>
      <c r="EV16" s="149"/>
      <c r="EW16" s="149"/>
      <c r="EX16" s="149"/>
      <c r="EY16" s="149"/>
      <c r="EZ16" s="149"/>
      <c r="FA16" s="149"/>
      <c r="FB16" s="149"/>
      <c r="FC16" s="149"/>
      <c r="FD16" s="149"/>
      <c r="FE16" s="149"/>
      <c r="FF16" s="149"/>
      <c r="FG16" s="149"/>
      <c r="FH16" s="149"/>
      <c r="FI16" s="149"/>
      <c r="FJ16" s="149"/>
      <c r="FK16" s="149"/>
      <c r="FL16" s="149"/>
      <c r="FM16" s="149"/>
      <c r="FN16" s="149"/>
      <c r="FO16" s="149"/>
      <c r="FP16" s="149"/>
      <c r="FQ16" s="149"/>
      <c r="FR16" s="149"/>
      <c r="FS16" s="149"/>
      <c r="FT16" s="149"/>
      <c r="FU16" s="149"/>
      <c r="FV16" s="149"/>
      <c r="FW16" s="149"/>
      <c r="FX16" s="149"/>
      <c r="FY16" s="149"/>
      <c r="FZ16" s="149"/>
      <c r="GA16" s="149"/>
      <c r="GB16" s="149"/>
      <c r="GC16" s="149"/>
      <c r="GD16" s="149"/>
      <c r="GE16" s="149"/>
      <c r="GF16" s="149"/>
      <c r="GG16" s="149"/>
      <c r="GH16" s="149"/>
      <c r="GI16" s="149"/>
      <c r="GJ16" s="149"/>
      <c r="GK16" s="149"/>
      <c r="GL16" s="149"/>
      <c r="GM16" s="149"/>
      <c r="GN16" s="149"/>
      <c r="GO16" s="149"/>
      <c r="GP16" s="149"/>
      <c r="GQ16" s="149"/>
      <c r="GR16" s="149"/>
      <c r="GS16" s="149"/>
      <c r="GT16" s="149"/>
      <c r="GU16" s="149"/>
      <c r="GV16" s="149"/>
      <c r="GW16" s="149"/>
      <c r="GX16" s="149"/>
      <c r="GY16" s="149"/>
      <c r="GZ16" s="149"/>
      <c r="HA16" s="149"/>
      <c r="HB16" s="149"/>
      <c r="HC16" s="149"/>
      <c r="HD16" s="149"/>
      <c r="HE16" s="149"/>
      <c r="HF16" s="149"/>
      <c r="HG16" s="149"/>
      <c r="HH16" s="149"/>
      <c r="HI16" s="149"/>
    </row>
    <row r="17" spans="1:217" s="642" customFormat="1">
      <c r="B17" s="627" t="s">
        <v>212</v>
      </c>
      <c r="C17" s="632"/>
      <c r="D17" s="629"/>
      <c r="E17" s="630" t="s">
        <v>109</v>
      </c>
      <c r="F17" s="630" t="s">
        <v>153</v>
      </c>
      <c r="G17" s="631" t="s">
        <v>85</v>
      </c>
      <c r="H17" s="632" t="s">
        <v>11</v>
      </c>
      <c r="I17" s="628" t="s">
        <v>550</v>
      </c>
      <c r="J17" s="632" t="s">
        <v>90</v>
      </c>
      <c r="K17" s="626" t="s">
        <v>112</v>
      </c>
      <c r="L17" s="633">
        <v>18.95</v>
      </c>
      <c r="M17" s="630"/>
      <c r="N17" s="629">
        <f>L17+M17</f>
        <v>18.95</v>
      </c>
      <c r="O17" s="630"/>
      <c r="P17" s="1255">
        <f>N17+O17</f>
        <v>18.95</v>
      </c>
      <c r="Q17" s="1255" t="s">
        <v>171</v>
      </c>
      <c r="R17" s="630"/>
      <c r="S17" s="1237"/>
      <c r="T17" s="628">
        <v>20</v>
      </c>
      <c r="U17" s="1023"/>
      <c r="V17" s="628">
        <v>0</v>
      </c>
      <c r="W17" s="628">
        <v>0</v>
      </c>
      <c r="X17" s="1023"/>
      <c r="Y17" s="636"/>
      <c r="Z17" s="1238"/>
      <c r="AA17" s="637"/>
      <c r="AB17" s="1237"/>
      <c r="AC17" s="628">
        <v>5</v>
      </c>
      <c r="AD17" s="628">
        <v>20</v>
      </c>
      <c r="AE17" s="628">
        <v>0</v>
      </c>
      <c r="AF17" s="1058">
        <f>(AC17+AD17+AE17)/'Grondslag bouw &amp; infra'!$B$50</f>
        <v>9.5785440613026823E-2</v>
      </c>
      <c r="AG17" s="636"/>
      <c r="AH17" s="1100"/>
      <c r="AI17" s="1239">
        <v>3.6499999999999998E-2</v>
      </c>
      <c r="AJ17" s="1240"/>
      <c r="AK17" s="1241"/>
      <c r="AL17" s="1240"/>
      <c r="AM17" s="630">
        <f>$AN$6*AN17</f>
        <v>0</v>
      </c>
      <c r="AN17" s="908"/>
      <c r="AO17" s="629"/>
      <c r="AP17" s="635"/>
      <c r="AQ17" s="629"/>
      <c r="AR17" s="1240"/>
      <c r="AS17" s="1242"/>
      <c r="AT17" s="630"/>
      <c r="AU17" s="630"/>
      <c r="AV17" s="630">
        <v>0.08</v>
      </c>
      <c r="AW17" s="630">
        <v>0.13</v>
      </c>
      <c r="AX17" s="630">
        <v>0.06</v>
      </c>
      <c r="AY17" s="629">
        <f>SUM(AS17:AX17)</f>
        <v>0.27</v>
      </c>
      <c r="AZ17" s="630">
        <v>0.32</v>
      </c>
      <c r="BA17" s="1237"/>
      <c r="BB17" s="629">
        <f>(650/4)*5</f>
        <v>812.5</v>
      </c>
      <c r="BC17" s="629"/>
      <c r="BD17" s="629"/>
      <c r="BE17" s="629"/>
      <c r="BF17" s="629"/>
      <c r="BG17" s="1266" t="s">
        <v>219</v>
      </c>
      <c r="BI17" s="1267"/>
    </row>
    <row r="18" spans="1:217" s="150" customFormat="1">
      <c r="A18" s="796"/>
      <c r="B18" s="86"/>
      <c r="C18" s="28"/>
      <c r="D18" s="164"/>
      <c r="E18" s="29"/>
      <c r="F18" s="29"/>
      <c r="G18" s="263"/>
      <c r="H18" s="8"/>
      <c r="I18" s="32"/>
      <c r="J18" s="143"/>
      <c r="K18" s="601"/>
      <c r="L18" s="333"/>
      <c r="M18" s="38"/>
      <c r="N18" s="30"/>
      <c r="O18" s="29"/>
      <c r="P18" s="29"/>
      <c r="Q18" s="295"/>
      <c r="R18" s="29"/>
      <c r="S18" s="44"/>
      <c r="T18" s="32"/>
      <c r="U18" s="1016"/>
      <c r="V18" s="79"/>
      <c r="W18" s="80"/>
      <c r="X18" s="1016"/>
      <c r="Y18" s="298"/>
      <c r="Z18" s="35"/>
      <c r="AA18" s="316"/>
      <c r="AB18" s="44"/>
      <c r="AC18" s="32"/>
      <c r="AD18" s="79"/>
      <c r="AE18" s="80"/>
      <c r="AF18" s="1052"/>
      <c r="AG18" s="1041"/>
      <c r="AH18" s="522"/>
      <c r="AI18" s="1001"/>
      <c r="AJ18" s="47"/>
      <c r="AK18" s="584"/>
      <c r="AL18" s="47"/>
      <c r="AM18" s="9"/>
      <c r="AN18" s="180"/>
      <c r="AO18" s="34"/>
      <c r="AP18" s="31"/>
      <c r="AQ18" s="706"/>
      <c r="AR18" s="47"/>
      <c r="AS18" s="559"/>
      <c r="AT18" s="29"/>
      <c r="AU18" s="29"/>
      <c r="AV18" s="29"/>
      <c r="AW18" s="29"/>
      <c r="AX18" s="29"/>
      <c r="AY18" s="30"/>
      <c r="AZ18" s="310"/>
      <c r="BA18" s="188"/>
      <c r="BB18" s="419"/>
      <c r="BC18" s="419"/>
      <c r="BD18" s="419"/>
      <c r="BE18" s="30"/>
      <c r="BF18" s="1117"/>
      <c r="BG18" s="572" t="s">
        <v>220</v>
      </c>
      <c r="BH18" s="289"/>
      <c r="BI18" s="583"/>
      <c r="BJ18" s="149"/>
      <c r="BK18" s="149"/>
      <c r="BL18" s="149"/>
      <c r="BM18" s="149"/>
      <c r="BN18" s="149"/>
      <c r="BO18" s="149"/>
      <c r="BP18" s="149"/>
      <c r="BQ18" s="149"/>
      <c r="BR18" s="149"/>
      <c r="BS18" s="149"/>
      <c r="BT18" s="149"/>
      <c r="BU18" s="149"/>
      <c r="BV18" s="149"/>
      <c r="BW18" s="149"/>
      <c r="BX18" s="149"/>
      <c r="BY18" s="149"/>
      <c r="BZ18" s="149"/>
      <c r="CA18" s="149"/>
      <c r="CB18" s="149"/>
      <c r="CC18" s="149"/>
      <c r="CD18" s="149"/>
      <c r="CE18" s="149"/>
      <c r="CF18" s="149"/>
      <c r="CG18" s="149"/>
      <c r="CH18" s="149"/>
      <c r="CI18" s="149"/>
      <c r="CJ18" s="149"/>
      <c r="CK18" s="149"/>
      <c r="CL18" s="149"/>
      <c r="CM18" s="149"/>
      <c r="CN18" s="149"/>
      <c r="CO18" s="149"/>
      <c r="CP18" s="149"/>
      <c r="CQ18" s="149"/>
      <c r="CR18" s="149"/>
      <c r="CS18" s="149"/>
      <c r="CT18" s="149"/>
      <c r="CU18" s="149"/>
      <c r="CV18" s="149"/>
      <c r="CW18" s="149"/>
      <c r="CX18" s="149"/>
      <c r="CY18" s="149"/>
      <c r="CZ18" s="149"/>
      <c r="DA18" s="149"/>
      <c r="DB18" s="149"/>
      <c r="DC18" s="149"/>
      <c r="DD18" s="149"/>
      <c r="DE18" s="149"/>
      <c r="DF18" s="149"/>
      <c r="DG18" s="149"/>
      <c r="DH18" s="149"/>
      <c r="DI18" s="149"/>
      <c r="DJ18" s="149"/>
      <c r="DK18" s="149"/>
      <c r="DL18" s="149"/>
      <c r="DM18" s="149"/>
      <c r="DN18" s="149"/>
      <c r="DO18" s="149"/>
      <c r="DP18" s="149"/>
      <c r="DQ18" s="149"/>
      <c r="DR18" s="149"/>
      <c r="DS18" s="149"/>
      <c r="DT18" s="149"/>
      <c r="DU18" s="149"/>
      <c r="DV18" s="149"/>
      <c r="DW18" s="149"/>
      <c r="DX18" s="149"/>
      <c r="DY18" s="149"/>
      <c r="DZ18" s="149"/>
      <c r="EA18" s="149"/>
      <c r="EB18" s="149"/>
      <c r="EC18" s="149"/>
      <c r="ED18" s="149"/>
      <c r="EE18" s="149"/>
      <c r="EF18" s="149"/>
      <c r="EG18" s="149"/>
      <c r="EH18" s="149"/>
      <c r="EI18" s="149"/>
      <c r="EJ18" s="149"/>
      <c r="EK18" s="149"/>
      <c r="EL18" s="149"/>
      <c r="EM18" s="149"/>
      <c r="EN18" s="149"/>
      <c r="EO18" s="149"/>
      <c r="EP18" s="149"/>
      <c r="EQ18" s="149"/>
      <c r="ER18" s="149"/>
      <c r="ES18" s="149"/>
      <c r="ET18" s="149"/>
      <c r="EU18" s="149"/>
      <c r="EV18" s="149"/>
      <c r="EW18" s="149"/>
      <c r="EX18" s="149"/>
      <c r="EY18" s="149"/>
      <c r="EZ18" s="149"/>
      <c r="FA18" s="149"/>
      <c r="FB18" s="149"/>
      <c r="FC18" s="149"/>
      <c r="FD18" s="149"/>
      <c r="FE18" s="149"/>
      <c r="FF18" s="149"/>
      <c r="FG18" s="149"/>
      <c r="FH18" s="149"/>
      <c r="FI18" s="149"/>
      <c r="FJ18" s="149"/>
      <c r="FK18" s="149"/>
      <c r="FL18" s="149"/>
      <c r="FM18" s="149"/>
      <c r="FN18" s="149"/>
      <c r="FO18" s="149"/>
      <c r="FP18" s="149"/>
      <c r="FQ18" s="149"/>
      <c r="FR18" s="149"/>
      <c r="FS18" s="149"/>
      <c r="FT18" s="149"/>
      <c r="FU18" s="149"/>
      <c r="FV18" s="149"/>
      <c r="FW18" s="149"/>
      <c r="FX18" s="149"/>
      <c r="FY18" s="149"/>
      <c r="FZ18" s="149"/>
      <c r="GA18" s="149"/>
      <c r="GB18" s="149"/>
      <c r="GC18" s="149"/>
      <c r="GD18" s="149"/>
      <c r="GE18" s="149"/>
      <c r="GF18" s="149"/>
      <c r="GG18" s="149"/>
      <c r="GH18" s="149"/>
      <c r="GI18" s="149"/>
      <c r="GJ18" s="149"/>
      <c r="GK18" s="149"/>
      <c r="GL18" s="149"/>
      <c r="GM18" s="149"/>
      <c r="GN18" s="149"/>
      <c r="GO18" s="149"/>
      <c r="GP18" s="149"/>
      <c r="GQ18" s="149"/>
      <c r="GR18" s="149"/>
      <c r="GS18" s="149"/>
      <c r="GT18" s="149"/>
      <c r="GU18" s="149"/>
      <c r="GV18" s="149"/>
      <c r="GW18" s="149"/>
      <c r="GX18" s="149"/>
      <c r="GY18" s="149"/>
      <c r="GZ18" s="149"/>
      <c r="HA18" s="149"/>
      <c r="HB18" s="149"/>
      <c r="HC18" s="149"/>
      <c r="HD18" s="149"/>
      <c r="HE18" s="149"/>
      <c r="HF18" s="149"/>
      <c r="HG18" s="149"/>
      <c r="HH18" s="149"/>
      <c r="HI18" s="149"/>
    </row>
    <row r="19" spans="1:217" s="150" customFormat="1" ht="15.75" customHeight="1">
      <c r="A19" s="1186"/>
      <c r="B19" s="619"/>
      <c r="C19" s="152"/>
      <c r="D19" s="153"/>
      <c r="E19" s="154"/>
      <c r="F19" s="154"/>
      <c r="G19" s="366"/>
      <c r="H19" s="151"/>
      <c r="I19" s="152"/>
      <c r="J19" s="151"/>
      <c r="K19" s="602"/>
      <c r="L19" s="367"/>
      <c r="M19" s="154"/>
      <c r="N19" s="153"/>
      <c r="O19" s="154"/>
      <c r="P19" s="154"/>
      <c r="Q19" s="154"/>
      <c r="R19" s="154"/>
      <c r="S19" s="368"/>
      <c r="T19" s="152"/>
      <c r="U19" s="1018"/>
      <c r="V19" s="152"/>
      <c r="W19" s="152"/>
      <c r="X19" s="1031"/>
      <c r="Y19" s="369"/>
      <c r="Z19" s="155"/>
      <c r="AA19" s="370"/>
      <c r="AB19" s="368"/>
      <c r="AC19" s="152"/>
      <c r="AD19" s="152"/>
      <c r="AE19" s="152"/>
      <c r="AF19" s="1054"/>
      <c r="AG19" s="369"/>
      <c r="AH19" s="1097"/>
      <c r="AI19" s="1002"/>
      <c r="AJ19" s="371"/>
      <c r="AK19" s="585"/>
      <c r="AL19" s="371"/>
      <c r="AM19" s="154"/>
      <c r="AN19" s="903"/>
      <c r="AO19" s="153"/>
      <c r="AP19" s="156"/>
      <c r="AQ19" s="708"/>
      <c r="AR19" s="371"/>
      <c r="AS19" s="372"/>
      <c r="AT19" s="154"/>
      <c r="AU19" s="154"/>
      <c r="AV19" s="154"/>
      <c r="AW19" s="154"/>
      <c r="AX19" s="154"/>
      <c r="AY19" s="153"/>
      <c r="AZ19" s="151"/>
      <c r="BA19" s="373"/>
      <c r="BB19" s="884"/>
      <c r="BC19" s="884"/>
      <c r="BD19" s="884"/>
      <c r="BE19" s="162"/>
      <c r="BF19" s="1119"/>
      <c r="BG19" s="573"/>
      <c r="BH19" s="289"/>
      <c r="BI19" s="583"/>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row>
    <row r="20" spans="1:217" s="1268" customFormat="1">
      <c r="A20" s="642"/>
      <c r="B20" s="1233" t="s">
        <v>208</v>
      </c>
      <c r="C20" s="1254"/>
      <c r="D20" s="629">
        <f>-130.18-265.83-60.75-70.23-104.12-60.12+13.26-312.97-106-60.7+895.55+164.7+486.09+629</f>
        <v>1017.6999999999998</v>
      </c>
      <c r="E20" s="630" t="s">
        <v>165</v>
      </c>
      <c r="F20" s="1255" t="s">
        <v>118</v>
      </c>
      <c r="G20" s="1256" t="s">
        <v>122</v>
      </c>
      <c r="H20" s="1257" t="s">
        <v>11</v>
      </c>
      <c r="I20" s="1254" t="s">
        <v>549</v>
      </c>
      <c r="J20" s="1257" t="s">
        <v>90</v>
      </c>
      <c r="K20" s="1258" t="s">
        <v>112</v>
      </c>
      <c r="L20" s="1259">
        <v>18.95</v>
      </c>
      <c r="M20" s="1255"/>
      <c r="N20" s="1260">
        <f>L20+M20</f>
        <v>18.95</v>
      </c>
      <c r="O20" s="1255"/>
      <c r="P20" s="1255">
        <f>N20+O20</f>
        <v>18.95</v>
      </c>
      <c r="Q20" s="630"/>
      <c r="R20" s="1255"/>
      <c r="S20" s="634"/>
      <c r="T20" s="1254">
        <v>20</v>
      </c>
      <c r="U20" s="1058">
        <f>T20/'Grondslag bouw &amp; infra'!$B$50</f>
        <v>7.662835249042145E-2</v>
      </c>
      <c r="V20" s="1254">
        <v>20</v>
      </c>
      <c r="W20" s="628">
        <v>8</v>
      </c>
      <c r="X20" s="1058">
        <f>(V20+W20)/'Grondslag bouw &amp; infra'!$B$50</f>
        <v>0.10727969348659004</v>
      </c>
      <c r="Y20" s="1261"/>
      <c r="Z20" s="1262"/>
      <c r="AA20" s="637"/>
      <c r="AB20" s="634"/>
      <c r="AC20" s="1254">
        <v>5</v>
      </c>
      <c r="AD20" s="628">
        <v>0</v>
      </c>
      <c r="AE20" s="628">
        <v>0</v>
      </c>
      <c r="AF20" s="1058">
        <f>(AC20+AD20+AE20)/'Grondslag bouw &amp; infra'!$B$50</f>
        <v>1.9157088122605363E-2</v>
      </c>
      <c r="AG20" s="636"/>
      <c r="AH20" s="1100"/>
      <c r="AI20" s="1239">
        <v>3.6499999999999998E-2</v>
      </c>
      <c r="AJ20" s="638"/>
      <c r="AK20" s="630">
        <f>'Grondslag bouw &amp; infra'!C31</f>
        <v>20.66769230769231</v>
      </c>
      <c r="AL20" s="638"/>
      <c r="AM20" s="1255">
        <f>$AN$6*AN20</f>
        <v>0</v>
      </c>
      <c r="AN20" s="1263"/>
      <c r="AO20" s="1260"/>
      <c r="AP20" s="1264"/>
      <c r="AQ20" s="629">
        <f>(P20*(AF20+AI20)+P20)</f>
        <v>20.004701819923369</v>
      </c>
      <c r="AR20" s="638"/>
      <c r="AS20" s="1265"/>
      <c r="AT20" s="1255"/>
      <c r="AU20" s="630"/>
      <c r="AV20" s="630" t="s">
        <v>370</v>
      </c>
      <c r="AW20" s="630">
        <v>1.1000000000000001</v>
      </c>
      <c r="AX20" s="630">
        <v>0.48</v>
      </c>
      <c r="AY20" s="629">
        <f>SUM(AS20:AX20)</f>
        <v>1.58</v>
      </c>
      <c r="AZ20" s="632" t="s">
        <v>375</v>
      </c>
      <c r="BA20" s="641"/>
      <c r="BB20" s="1260">
        <f>(525+15.12+35+8.25+7.49)/32*40</f>
        <v>738.57500000000005</v>
      </c>
      <c r="BC20" s="629">
        <f>(((2298.89)/4)*5)/4</f>
        <v>718.40312499999993</v>
      </c>
      <c r="BD20" s="629">
        <f>(BB20-(AY20*5))*(1-1%)</f>
        <v>723.3682500000001</v>
      </c>
      <c r="BE20" s="1260">
        <f>BD20</f>
        <v>723.3682500000001</v>
      </c>
      <c r="BF20" s="629">
        <f>BD20</f>
        <v>723.3682500000001</v>
      </c>
      <c r="BG20" s="1266" t="s">
        <v>137</v>
      </c>
      <c r="BH20" s="642"/>
      <c r="BI20" s="1267"/>
      <c r="BJ20" s="642"/>
      <c r="BK20" s="642"/>
      <c r="BL20" s="642"/>
      <c r="BM20" s="642"/>
      <c r="BN20" s="642"/>
      <c r="BO20" s="642"/>
      <c r="BP20" s="642"/>
      <c r="BQ20" s="642"/>
      <c r="BR20" s="642"/>
      <c r="BS20" s="642"/>
      <c r="BT20" s="642"/>
      <c r="BU20" s="642"/>
      <c r="BV20" s="642"/>
      <c r="BW20" s="642"/>
      <c r="BX20" s="642"/>
      <c r="BY20" s="642"/>
      <c r="BZ20" s="642"/>
      <c r="CA20" s="642"/>
      <c r="CB20" s="642"/>
      <c r="CC20" s="642"/>
      <c r="CD20" s="642"/>
      <c r="CE20" s="642"/>
      <c r="CF20" s="642"/>
      <c r="CG20" s="642"/>
      <c r="CH20" s="642"/>
      <c r="CI20" s="642"/>
      <c r="CJ20" s="642"/>
      <c r="CK20" s="642"/>
      <c r="CL20" s="642"/>
      <c r="CM20" s="642"/>
      <c r="CN20" s="642"/>
      <c r="CO20" s="642"/>
      <c r="CP20" s="642"/>
      <c r="CQ20" s="642"/>
      <c r="CR20" s="642"/>
      <c r="CS20" s="642"/>
      <c r="CT20" s="642"/>
      <c r="CU20" s="642"/>
      <c r="CV20" s="642"/>
      <c r="CW20" s="642"/>
      <c r="CX20" s="642"/>
      <c r="CY20" s="642"/>
      <c r="CZ20" s="642"/>
      <c r="DA20" s="642"/>
      <c r="DB20" s="642"/>
      <c r="DC20" s="642"/>
      <c r="DD20" s="642"/>
      <c r="DE20" s="642"/>
      <c r="DF20" s="642"/>
      <c r="DG20" s="642"/>
      <c r="DH20" s="642"/>
      <c r="DI20" s="642"/>
      <c r="DJ20" s="642"/>
      <c r="DK20" s="642"/>
      <c r="DL20" s="642"/>
      <c r="DM20" s="642"/>
      <c r="DN20" s="642"/>
      <c r="DO20" s="642"/>
      <c r="DP20" s="642"/>
      <c r="DQ20" s="642"/>
      <c r="DR20" s="642"/>
      <c r="DS20" s="642"/>
      <c r="DT20" s="642"/>
      <c r="DU20" s="642"/>
      <c r="DV20" s="642"/>
      <c r="DW20" s="642"/>
      <c r="DX20" s="642"/>
      <c r="DY20" s="642"/>
      <c r="DZ20" s="642"/>
      <c r="EA20" s="642"/>
      <c r="EB20" s="642"/>
      <c r="EC20" s="642"/>
      <c r="ED20" s="642"/>
      <c r="EE20" s="642"/>
      <c r="EF20" s="642"/>
      <c r="EG20" s="642"/>
      <c r="EH20" s="642"/>
      <c r="EI20" s="642"/>
      <c r="EJ20" s="642"/>
      <c r="EK20" s="642"/>
      <c r="EL20" s="642"/>
      <c r="EM20" s="642"/>
      <c r="EN20" s="642"/>
      <c r="EO20" s="642"/>
      <c r="EP20" s="642"/>
      <c r="EQ20" s="642"/>
      <c r="ER20" s="642"/>
      <c r="ES20" s="642"/>
      <c r="ET20" s="642"/>
      <c r="EU20" s="642"/>
      <c r="EV20" s="642"/>
      <c r="EW20" s="642"/>
      <c r="EX20" s="642"/>
      <c r="EY20" s="642"/>
      <c r="EZ20" s="642"/>
      <c r="FA20" s="642"/>
      <c r="FB20" s="642"/>
      <c r="FC20" s="642"/>
      <c r="FD20" s="642"/>
      <c r="FE20" s="642"/>
      <c r="FF20" s="642"/>
      <c r="FG20" s="642"/>
      <c r="FH20" s="642"/>
      <c r="FI20" s="642"/>
      <c r="FJ20" s="642"/>
      <c r="FK20" s="642"/>
      <c r="FL20" s="642"/>
      <c r="FM20" s="642"/>
      <c r="FN20" s="642"/>
      <c r="FO20" s="642"/>
      <c r="FP20" s="642"/>
      <c r="FQ20" s="642"/>
      <c r="FR20" s="642"/>
      <c r="FS20" s="642"/>
      <c r="FT20" s="642"/>
      <c r="FU20" s="642"/>
      <c r="FV20" s="642"/>
      <c r="FW20" s="642"/>
      <c r="FX20" s="642"/>
      <c r="FY20" s="642"/>
      <c r="FZ20" s="642"/>
      <c r="GA20" s="642"/>
      <c r="GB20" s="642"/>
      <c r="GC20" s="642"/>
      <c r="GD20" s="642"/>
      <c r="GE20" s="642"/>
      <c r="GF20" s="642"/>
      <c r="GG20" s="642"/>
      <c r="GH20" s="642"/>
      <c r="GI20" s="642"/>
      <c r="GJ20" s="642"/>
      <c r="GK20" s="642"/>
      <c r="GL20" s="642"/>
      <c r="GM20" s="642"/>
      <c r="GN20" s="642"/>
      <c r="GO20" s="642"/>
      <c r="GP20" s="642"/>
      <c r="GQ20" s="642"/>
      <c r="GR20" s="642"/>
      <c r="GS20" s="642"/>
      <c r="GT20" s="642"/>
      <c r="GU20" s="642"/>
      <c r="GV20" s="642"/>
      <c r="GW20" s="642"/>
      <c r="GX20" s="642"/>
      <c r="GY20" s="642"/>
      <c r="GZ20" s="642"/>
      <c r="HA20" s="642"/>
      <c r="HB20" s="642"/>
      <c r="HC20" s="642"/>
      <c r="HD20" s="642"/>
      <c r="HE20" s="642"/>
      <c r="HF20" s="642"/>
      <c r="HG20" s="642"/>
      <c r="HH20" s="642"/>
      <c r="HI20" s="642"/>
    </row>
    <row r="21" spans="1:217" s="175" customFormat="1">
      <c r="A21" s="289"/>
      <c r="B21" s="620"/>
      <c r="C21" s="283"/>
      <c r="D21" s="105"/>
      <c r="E21" s="284"/>
      <c r="F21" s="284"/>
      <c r="G21" s="281"/>
      <c r="H21" s="282"/>
      <c r="I21" s="283"/>
      <c r="J21" s="817"/>
      <c r="K21" s="603"/>
      <c r="L21" s="398"/>
      <c r="M21" s="284"/>
      <c r="N21" s="105"/>
      <c r="O21" s="284"/>
      <c r="P21" s="284"/>
      <c r="Q21" s="284"/>
      <c r="R21" s="284"/>
      <c r="S21" s="278"/>
      <c r="T21" s="283"/>
      <c r="U21" s="1019"/>
      <c r="V21" s="283"/>
      <c r="W21" s="283"/>
      <c r="X21" s="1019"/>
      <c r="Y21" s="401"/>
      <c r="Z21" s="400"/>
      <c r="AA21" s="402"/>
      <c r="AB21" s="278"/>
      <c r="AC21" s="283"/>
      <c r="AD21" s="283"/>
      <c r="AE21" s="283"/>
      <c r="AF21" s="1055"/>
      <c r="AG21" s="401"/>
      <c r="AH21" s="1098"/>
      <c r="AI21" s="1001"/>
      <c r="AJ21" s="287"/>
      <c r="AK21" s="584"/>
      <c r="AL21" s="287"/>
      <c r="AM21" s="284"/>
      <c r="AN21" s="905"/>
      <c r="AO21" s="105"/>
      <c r="AP21" s="286"/>
      <c r="AQ21" s="709"/>
      <c r="AR21" s="287"/>
      <c r="AS21" s="389"/>
      <c r="AT21" s="284"/>
      <c r="AU21" s="284"/>
      <c r="AV21" s="284"/>
      <c r="AW21" s="284"/>
      <c r="AX21" s="284"/>
      <c r="AY21" s="105"/>
      <c r="AZ21" s="282"/>
      <c r="BA21" s="278"/>
      <c r="BB21" s="419"/>
      <c r="BC21" s="419"/>
      <c r="BD21" s="419"/>
      <c r="BE21" s="30"/>
      <c r="BF21" s="1118"/>
      <c r="BG21" s="574"/>
      <c r="BH21" s="289"/>
      <c r="BI21" s="583"/>
    </row>
    <row r="22" spans="1:217" s="150" customFormat="1">
      <c r="A22" s="1186"/>
      <c r="B22" s="619"/>
      <c r="C22" s="152"/>
      <c r="D22" s="153"/>
      <c r="E22" s="154"/>
      <c r="F22" s="154"/>
      <c r="G22" s="366"/>
      <c r="H22" s="151"/>
      <c r="I22" s="152"/>
      <c r="J22" s="151"/>
      <c r="K22" s="602"/>
      <c r="L22" s="367"/>
      <c r="M22" s="154"/>
      <c r="N22" s="153"/>
      <c r="O22" s="154"/>
      <c r="P22" s="154"/>
      <c r="Q22" s="154"/>
      <c r="R22" s="154"/>
      <c r="S22" s="368"/>
      <c r="T22" s="152"/>
      <c r="U22" s="1018"/>
      <c r="V22" s="415"/>
      <c r="W22" s="152"/>
      <c r="X22" s="1018"/>
      <c r="Y22" s="369"/>
      <c r="Z22" s="155"/>
      <c r="AA22" s="370"/>
      <c r="AB22" s="368"/>
      <c r="AC22" s="152"/>
      <c r="AD22" s="152"/>
      <c r="AE22" s="152"/>
      <c r="AF22" s="1054"/>
      <c r="AG22" s="369"/>
      <c r="AH22" s="1097"/>
      <c r="AI22" s="1002"/>
      <c r="AJ22" s="371"/>
      <c r="AK22" s="585"/>
      <c r="AL22" s="371"/>
      <c r="AM22" s="154"/>
      <c r="AN22" s="903"/>
      <c r="AO22" s="153"/>
      <c r="AP22" s="156"/>
      <c r="AQ22" s="708"/>
      <c r="AR22" s="371"/>
      <c r="AS22" s="372"/>
      <c r="AT22" s="154"/>
      <c r="AU22" s="154"/>
      <c r="AV22" s="154"/>
      <c r="AW22" s="154"/>
      <c r="AX22" s="154"/>
      <c r="AY22" s="153"/>
      <c r="AZ22" s="151"/>
      <c r="BA22" s="373"/>
      <c r="BB22" s="884"/>
      <c r="BC22" s="884"/>
      <c r="BD22" s="884"/>
      <c r="BE22" s="162"/>
      <c r="BF22" s="1119"/>
      <c r="BG22" s="573"/>
      <c r="BH22" s="289"/>
      <c r="BI22" s="583"/>
      <c r="BJ22" s="149"/>
      <c r="BK22" s="149"/>
      <c r="BL22" s="149"/>
      <c r="BM22" s="149"/>
      <c r="BN22" s="149"/>
      <c r="BO22" s="149"/>
      <c r="BP22" s="149"/>
      <c r="BQ22" s="149"/>
      <c r="BR22" s="149"/>
      <c r="BS22" s="149"/>
      <c r="BT22" s="149"/>
      <c r="BU22" s="149"/>
      <c r="BV22" s="149"/>
      <c r="BW22" s="149"/>
      <c r="BX22" s="149"/>
      <c r="BY22" s="149"/>
      <c r="BZ22" s="149"/>
      <c r="CA22" s="149"/>
      <c r="CB22" s="149"/>
      <c r="CC22" s="149"/>
      <c r="CD22" s="149"/>
      <c r="CE22" s="149"/>
      <c r="CF22" s="149"/>
      <c r="CG22" s="149"/>
      <c r="CH22" s="149"/>
      <c r="CI22" s="149"/>
      <c r="CJ22" s="149"/>
      <c r="CK22" s="149"/>
      <c r="CL22" s="149"/>
      <c r="CM22" s="149"/>
      <c r="CN22" s="149"/>
      <c r="CO22" s="149"/>
      <c r="CP22" s="149"/>
      <c r="CQ22" s="149"/>
      <c r="CR22" s="149"/>
      <c r="CS22" s="149"/>
      <c r="CT22" s="149"/>
      <c r="CU22" s="149"/>
      <c r="CV22" s="149"/>
      <c r="CW22" s="149"/>
      <c r="CX22" s="149"/>
      <c r="CY22" s="149"/>
      <c r="CZ22" s="149"/>
      <c r="DA22" s="149"/>
      <c r="DB22" s="149"/>
      <c r="DC22" s="149"/>
      <c r="DD22" s="149"/>
      <c r="DE22" s="149"/>
      <c r="DF22" s="149"/>
      <c r="DG22" s="149"/>
      <c r="DH22" s="149"/>
      <c r="DI22" s="149"/>
      <c r="DJ22" s="149"/>
      <c r="DK22" s="149"/>
      <c r="DL22" s="149"/>
      <c r="DM22" s="149"/>
      <c r="DN22" s="149"/>
      <c r="DO22" s="149"/>
      <c r="DP22" s="149"/>
      <c r="DQ22" s="149"/>
      <c r="DR22" s="149"/>
      <c r="DS22" s="149"/>
      <c r="DT22" s="149"/>
      <c r="DU22" s="149"/>
      <c r="DV22" s="149"/>
      <c r="DW22" s="149"/>
      <c r="DX22" s="149"/>
      <c r="DY22" s="149"/>
      <c r="DZ22" s="149"/>
      <c r="EA22" s="149"/>
      <c r="EB22" s="149"/>
      <c r="EC22" s="149"/>
      <c r="ED22" s="149"/>
      <c r="EE22" s="149"/>
      <c r="EF22" s="149"/>
      <c r="EG22" s="149"/>
      <c r="EH22" s="149"/>
      <c r="EI22" s="149"/>
      <c r="EJ22" s="149"/>
      <c r="EK22" s="149"/>
      <c r="EL22" s="149"/>
      <c r="EM22" s="149"/>
      <c r="EN22" s="149"/>
      <c r="EO22" s="149"/>
      <c r="EP22" s="149"/>
      <c r="EQ22" s="149"/>
      <c r="ER22" s="149"/>
      <c r="ES22" s="149"/>
      <c r="ET22" s="149"/>
      <c r="EU22" s="149"/>
      <c r="EV22" s="149"/>
      <c r="EW22" s="149"/>
      <c r="EX22" s="149"/>
      <c r="EY22" s="149"/>
      <c r="EZ22" s="149"/>
      <c r="FA22" s="149"/>
      <c r="FB22" s="149"/>
      <c r="FC22" s="149"/>
      <c r="FD22" s="149"/>
      <c r="FE22" s="149"/>
      <c r="FF22" s="149"/>
      <c r="FG22" s="149"/>
      <c r="FH22" s="149"/>
      <c r="FI22" s="149"/>
      <c r="FJ22" s="149"/>
      <c r="FK22" s="149"/>
      <c r="FL22" s="149"/>
      <c r="FM22" s="149"/>
      <c r="FN22" s="149"/>
      <c r="FO22" s="149"/>
      <c r="FP22" s="149"/>
      <c r="FQ22" s="149"/>
      <c r="FR22" s="149"/>
      <c r="FS22" s="149"/>
      <c r="FT22" s="149"/>
      <c r="FU22" s="149"/>
      <c r="FV22" s="149"/>
      <c r="FW22" s="149"/>
      <c r="FX22" s="149"/>
      <c r="FY22" s="149"/>
      <c r="FZ22" s="149"/>
      <c r="GA22" s="149"/>
      <c r="GB22" s="149"/>
      <c r="GC22" s="149"/>
      <c r="GD22" s="149"/>
      <c r="GE22" s="149"/>
      <c r="GF22" s="149"/>
      <c r="GG22" s="149"/>
      <c r="GH22" s="149"/>
      <c r="GI22" s="149"/>
      <c r="GJ22" s="149"/>
      <c r="GK22" s="149"/>
      <c r="GL22" s="149"/>
      <c r="GM22" s="149"/>
      <c r="GN22" s="149"/>
      <c r="GO22" s="149"/>
      <c r="GP22" s="149"/>
      <c r="GQ22" s="149"/>
      <c r="GR22" s="149"/>
      <c r="GS22" s="149"/>
      <c r="GT22" s="149"/>
      <c r="GU22" s="149"/>
      <c r="GV22" s="149"/>
      <c r="GW22" s="149"/>
      <c r="GX22" s="149"/>
      <c r="GY22" s="149"/>
      <c r="GZ22" s="149"/>
      <c r="HA22" s="149"/>
      <c r="HB22" s="149"/>
      <c r="HC22" s="149"/>
      <c r="HD22" s="149"/>
      <c r="HE22" s="149"/>
      <c r="HF22" s="149"/>
      <c r="HG22" s="149"/>
      <c r="HH22" s="149"/>
      <c r="HI22" s="149"/>
    </row>
    <row r="23" spans="1:217" s="150" customFormat="1">
      <c r="A23" s="796"/>
      <c r="B23" s="86" t="s">
        <v>117</v>
      </c>
      <c r="C23" s="28"/>
      <c r="D23" s="164">
        <f>1131.65+679.8-114.64-1172.79+422.97-793.6+429.31+396.89-255.37</f>
        <v>724.22</v>
      </c>
      <c r="E23" s="29" t="s">
        <v>91</v>
      </c>
      <c r="F23" s="29" t="s">
        <v>118</v>
      </c>
      <c r="G23" s="264" t="s">
        <v>122</v>
      </c>
      <c r="H23" s="8" t="s">
        <v>11</v>
      </c>
      <c r="I23" s="118" t="s">
        <v>119</v>
      </c>
      <c r="J23" s="117" t="s">
        <v>93</v>
      </c>
      <c r="K23" s="12" t="s">
        <v>64</v>
      </c>
      <c r="L23" s="336">
        <v>20.02</v>
      </c>
      <c r="M23" s="204"/>
      <c r="N23" s="41">
        <f>L23+M23</f>
        <v>20.02</v>
      </c>
      <c r="O23" s="115"/>
      <c r="P23" s="115">
        <f>N23+O23</f>
        <v>20.02</v>
      </c>
      <c r="Q23" s="115"/>
      <c r="R23" s="115"/>
      <c r="S23" s="44"/>
      <c r="T23" s="118">
        <v>20</v>
      </c>
      <c r="U23" s="1052">
        <f>T23/'Grondslag bouw &amp; infra'!$B$50</f>
        <v>7.662835249042145E-2</v>
      </c>
      <c r="V23" s="120">
        <v>20</v>
      </c>
      <c r="W23" s="121">
        <v>9</v>
      </c>
      <c r="X23" s="1052">
        <f>(V23+W23)/'Grondslag bouw &amp; infra'!$B$50</f>
        <v>0.1111111111111111</v>
      </c>
      <c r="Y23" s="300"/>
      <c r="Z23" s="119"/>
      <c r="AA23" s="318"/>
      <c r="AB23" s="301"/>
      <c r="AC23" s="118">
        <v>5</v>
      </c>
      <c r="AD23" s="120">
        <v>0</v>
      </c>
      <c r="AE23" s="121">
        <v>0</v>
      </c>
      <c r="AF23" s="1052">
        <f>(AC23+AD23+AE23)/'Grondslag bouw &amp; infra'!$B$50</f>
        <v>1.9157088122605363E-2</v>
      </c>
      <c r="AG23" s="1040"/>
      <c r="AH23" s="522"/>
      <c r="AI23" s="1001">
        <v>3.6499999999999998E-2</v>
      </c>
      <c r="AJ23" s="47"/>
      <c r="AK23" s="584">
        <f>'Grondslag bouw &amp; infra'!C31</f>
        <v>20.66769230769231</v>
      </c>
      <c r="AL23" s="47"/>
      <c r="AM23" s="138">
        <f>$AN$6*AN23</f>
        <v>0</v>
      </c>
      <c r="AN23" s="904"/>
      <c r="AO23" s="116"/>
      <c r="AP23" s="141"/>
      <c r="AQ23" s="30">
        <f>(P23*(AF23+AI23)+P23)</f>
        <v>21.134254904214558</v>
      </c>
      <c r="AR23" s="47"/>
      <c r="AS23" s="307"/>
      <c r="AT23" s="138">
        <v>0.96</v>
      </c>
      <c r="AU23" s="9"/>
      <c r="AV23" s="29">
        <v>0.68</v>
      </c>
      <c r="AW23" s="29">
        <v>1.1000000000000001</v>
      </c>
      <c r="AX23" s="29">
        <v>0.48</v>
      </c>
      <c r="AY23" s="41">
        <f>SUM(AS23:AX23)</f>
        <v>3.22</v>
      </c>
      <c r="AZ23" s="29">
        <v>0.32</v>
      </c>
      <c r="BA23" s="188"/>
      <c r="BB23" s="419">
        <f>535.83+12.5+6.62+20.09+20.06+10.22+17+4.55+11.22+6.94+5.16+18.2+12.32+2.11+12.21+11.25</f>
        <v>706.2800000000002</v>
      </c>
      <c r="BC23" s="419">
        <f>2688.91/4</f>
        <v>672.22749999999996</v>
      </c>
      <c r="BD23" s="419">
        <f>(BB23-(AY23*5))*(1-1%)</f>
        <v>683.2782000000002</v>
      </c>
      <c r="BE23" s="41">
        <f>BD23</f>
        <v>683.2782000000002</v>
      </c>
      <c r="BF23" s="1118">
        <f>BD23</f>
        <v>683.2782000000002</v>
      </c>
      <c r="BG23" s="572"/>
      <c r="BH23" s="289"/>
      <c r="BI23" s="586"/>
      <c r="BJ23" s="149"/>
      <c r="BK23" s="149"/>
      <c r="BL23" s="149"/>
      <c r="BM23" s="149"/>
      <c r="BN23" s="149"/>
      <c r="BO23" s="149"/>
      <c r="BP23" s="149"/>
      <c r="BQ23" s="149"/>
      <c r="BR23" s="149"/>
      <c r="BS23" s="149"/>
      <c r="BT23" s="149"/>
      <c r="BU23" s="149"/>
      <c r="BV23" s="149"/>
      <c r="BW23" s="149"/>
      <c r="BX23" s="149"/>
      <c r="BY23" s="149"/>
      <c r="BZ23" s="149"/>
      <c r="CA23" s="149"/>
      <c r="CB23" s="149"/>
      <c r="CC23" s="149"/>
      <c r="CD23" s="149"/>
      <c r="CE23" s="149"/>
      <c r="CF23" s="149"/>
      <c r="CG23" s="149"/>
      <c r="CH23" s="149"/>
      <c r="CI23" s="149"/>
      <c r="CJ23" s="149"/>
      <c r="CK23" s="149"/>
      <c r="CL23" s="149"/>
      <c r="CM23" s="149"/>
      <c r="CN23" s="149"/>
      <c r="CO23" s="149"/>
      <c r="CP23" s="149"/>
      <c r="CQ23" s="149"/>
      <c r="CR23" s="149"/>
      <c r="CS23" s="149"/>
      <c r="CT23" s="149"/>
      <c r="CU23" s="149"/>
      <c r="CV23" s="149"/>
      <c r="CW23" s="149"/>
      <c r="CX23" s="149"/>
      <c r="CY23" s="149"/>
      <c r="CZ23" s="149"/>
      <c r="DA23" s="149"/>
      <c r="DB23" s="149"/>
      <c r="DC23" s="149"/>
      <c r="DD23" s="149"/>
      <c r="DE23" s="149"/>
      <c r="DF23" s="149"/>
      <c r="DG23" s="149"/>
      <c r="DH23" s="149"/>
      <c r="DI23" s="149"/>
      <c r="DJ23" s="149"/>
      <c r="DK23" s="149"/>
      <c r="DL23" s="149"/>
      <c r="DM23" s="149"/>
      <c r="DN23" s="149"/>
      <c r="DO23" s="149"/>
      <c r="DP23" s="149"/>
      <c r="DQ23" s="149"/>
      <c r="DR23" s="149"/>
      <c r="DS23" s="149"/>
      <c r="DT23" s="149"/>
      <c r="DU23" s="149"/>
      <c r="DV23" s="149"/>
      <c r="DW23" s="149"/>
      <c r="DX23" s="149"/>
      <c r="DY23" s="149"/>
      <c r="DZ23" s="149"/>
      <c r="EA23" s="149"/>
      <c r="EB23" s="149"/>
      <c r="EC23" s="149"/>
      <c r="ED23" s="149"/>
      <c r="EE23" s="149"/>
      <c r="EF23" s="149"/>
      <c r="EG23" s="149"/>
      <c r="EH23" s="149"/>
      <c r="EI23" s="149"/>
      <c r="EJ23" s="149"/>
      <c r="EK23" s="149"/>
      <c r="EL23" s="149"/>
      <c r="EM23" s="149"/>
      <c r="EN23" s="149"/>
      <c r="EO23" s="149"/>
      <c r="EP23" s="149"/>
      <c r="EQ23" s="149"/>
      <c r="ER23" s="149"/>
      <c r="ES23" s="149"/>
      <c r="ET23" s="149"/>
      <c r="EU23" s="149"/>
      <c r="EV23" s="149"/>
      <c r="EW23" s="149"/>
      <c r="EX23" s="149"/>
      <c r="EY23" s="149"/>
      <c r="EZ23" s="149"/>
      <c r="FA23" s="149"/>
      <c r="FB23" s="149"/>
      <c r="FC23" s="149"/>
      <c r="FD23" s="149"/>
      <c r="FE23" s="149"/>
      <c r="FF23" s="149"/>
      <c r="FG23" s="149"/>
      <c r="FH23" s="149"/>
      <c r="FI23" s="149"/>
      <c r="FJ23" s="149"/>
      <c r="FK23" s="149"/>
      <c r="FL23" s="149"/>
      <c r="FM23" s="149"/>
      <c r="FN23" s="149"/>
      <c r="FO23" s="149"/>
      <c r="FP23" s="149"/>
      <c r="FQ23" s="149"/>
      <c r="FR23" s="149"/>
      <c r="FS23" s="149"/>
      <c r="FT23" s="149"/>
      <c r="FU23" s="149"/>
      <c r="FV23" s="149"/>
      <c r="FW23" s="149"/>
      <c r="FX23" s="149"/>
      <c r="FY23" s="149"/>
      <c r="FZ23" s="149"/>
      <c r="GA23" s="149"/>
      <c r="GB23" s="149"/>
      <c r="GC23" s="149"/>
      <c r="GD23" s="149"/>
      <c r="GE23" s="149"/>
      <c r="GF23" s="149"/>
      <c r="GG23" s="149"/>
      <c r="GH23" s="149"/>
      <c r="GI23" s="149"/>
      <c r="GJ23" s="149"/>
      <c r="GK23" s="149"/>
      <c r="GL23" s="149"/>
      <c r="GM23" s="149"/>
      <c r="GN23" s="149"/>
      <c r="GO23" s="149"/>
      <c r="GP23" s="149"/>
      <c r="GQ23" s="149"/>
      <c r="GR23" s="149"/>
      <c r="GS23" s="149"/>
      <c r="GT23" s="149"/>
      <c r="GU23" s="149"/>
      <c r="GV23" s="149"/>
      <c r="GW23" s="149"/>
      <c r="GX23" s="149"/>
      <c r="GY23" s="149"/>
      <c r="GZ23" s="149"/>
      <c r="HA23" s="149"/>
      <c r="HB23" s="149"/>
      <c r="HC23" s="149"/>
      <c r="HD23" s="149"/>
      <c r="HE23" s="149"/>
      <c r="HF23" s="149"/>
      <c r="HG23" s="149"/>
      <c r="HH23" s="149"/>
      <c r="HI23" s="149"/>
    </row>
    <row r="24" spans="1:217" s="150" customFormat="1">
      <c r="A24" s="796"/>
      <c r="B24" s="86"/>
      <c r="C24" s="28"/>
      <c r="D24" s="164"/>
      <c r="E24" s="29"/>
      <c r="F24" s="29"/>
      <c r="G24" s="263"/>
      <c r="H24" s="8"/>
      <c r="I24" s="32"/>
      <c r="J24" s="8"/>
      <c r="K24" s="7"/>
      <c r="L24" s="333"/>
      <c r="M24" s="38"/>
      <c r="N24" s="30"/>
      <c r="O24" s="29"/>
      <c r="P24" s="29"/>
      <c r="Q24" s="29"/>
      <c r="R24" s="29"/>
      <c r="S24" s="44"/>
      <c r="T24" s="32"/>
      <c r="U24" s="1016"/>
      <c r="V24" s="376"/>
      <c r="W24" s="80"/>
      <c r="X24" s="1016"/>
      <c r="Y24" s="298"/>
      <c r="Z24" s="35"/>
      <c r="AA24" s="316"/>
      <c r="AB24" s="44"/>
      <c r="AC24" s="32"/>
      <c r="AD24" s="79"/>
      <c r="AE24" s="80"/>
      <c r="AF24" s="1052"/>
      <c r="AG24" s="1041"/>
      <c r="AH24" s="522"/>
      <c r="AI24" s="1001"/>
      <c r="AJ24" s="47"/>
      <c r="AK24" s="584"/>
      <c r="AL24" s="47"/>
      <c r="AM24" s="9"/>
      <c r="AN24" s="180"/>
      <c r="AO24" s="34"/>
      <c r="AP24" s="31"/>
      <c r="AQ24" s="706"/>
      <c r="AR24" s="47"/>
      <c r="AS24" s="43"/>
      <c r="AT24" s="9"/>
      <c r="AU24" s="9"/>
      <c r="AV24" s="29"/>
      <c r="AW24" s="29"/>
      <c r="AX24" s="29"/>
      <c r="AY24" s="30"/>
      <c r="AZ24" s="143"/>
      <c r="BA24" s="188"/>
      <c r="BB24" s="419"/>
      <c r="BC24" s="419"/>
      <c r="BD24" s="419"/>
      <c r="BE24" s="30"/>
      <c r="BF24" s="1118"/>
      <c r="BG24" s="572"/>
      <c r="BH24" s="289"/>
      <c r="BI24" s="583"/>
      <c r="BJ24" s="149"/>
      <c r="BK24" s="149"/>
      <c r="BL24" s="149"/>
      <c r="BM24" s="149"/>
      <c r="BN24" s="149"/>
      <c r="BO24" s="149"/>
      <c r="BP24" s="149"/>
      <c r="BQ24" s="149"/>
      <c r="BR24" s="149"/>
      <c r="BS24" s="149"/>
      <c r="BT24" s="149"/>
      <c r="BU24" s="149"/>
      <c r="BV24" s="149"/>
      <c r="BW24" s="149"/>
      <c r="BX24" s="149"/>
      <c r="BY24" s="149"/>
      <c r="BZ24" s="149"/>
      <c r="CA24" s="149"/>
      <c r="CB24" s="149"/>
      <c r="CC24" s="149"/>
      <c r="CD24" s="149"/>
      <c r="CE24" s="149"/>
      <c r="CF24" s="149"/>
      <c r="CG24" s="149"/>
      <c r="CH24" s="149"/>
      <c r="CI24" s="149"/>
      <c r="CJ24" s="149"/>
      <c r="CK24" s="149"/>
      <c r="CL24" s="149"/>
      <c r="CM24" s="149"/>
      <c r="CN24" s="149"/>
      <c r="CO24" s="149"/>
      <c r="CP24" s="149"/>
      <c r="CQ24" s="149"/>
      <c r="CR24" s="149"/>
      <c r="CS24" s="149"/>
      <c r="CT24" s="149"/>
      <c r="CU24" s="149"/>
      <c r="CV24" s="149"/>
      <c r="CW24" s="149"/>
      <c r="CX24" s="149"/>
      <c r="CY24" s="149"/>
      <c r="CZ24" s="149"/>
      <c r="DA24" s="149"/>
      <c r="DB24" s="149"/>
      <c r="DC24" s="149"/>
      <c r="DD24" s="149"/>
      <c r="DE24" s="149"/>
      <c r="DF24" s="149"/>
      <c r="DG24" s="149"/>
      <c r="DH24" s="149"/>
      <c r="DI24" s="149"/>
      <c r="DJ24" s="149"/>
      <c r="DK24" s="149"/>
      <c r="DL24" s="149"/>
      <c r="DM24" s="149"/>
      <c r="DN24" s="149"/>
      <c r="DO24" s="149"/>
      <c r="DP24" s="149"/>
      <c r="DQ24" s="149"/>
      <c r="DR24" s="149"/>
      <c r="DS24" s="149"/>
      <c r="DT24" s="149"/>
      <c r="DU24" s="149"/>
      <c r="DV24" s="149"/>
      <c r="DW24" s="149"/>
      <c r="DX24" s="149"/>
      <c r="DY24" s="149"/>
      <c r="DZ24" s="149"/>
      <c r="EA24" s="149"/>
      <c r="EB24" s="149"/>
      <c r="EC24" s="149"/>
      <c r="ED24" s="149"/>
      <c r="EE24" s="149"/>
      <c r="EF24" s="149"/>
      <c r="EG24" s="149"/>
      <c r="EH24" s="149"/>
      <c r="EI24" s="149"/>
      <c r="EJ24" s="149"/>
      <c r="EK24" s="149"/>
      <c r="EL24" s="149"/>
      <c r="EM24" s="149"/>
      <c r="EN24" s="149"/>
      <c r="EO24" s="149"/>
      <c r="EP24" s="149"/>
      <c r="EQ24" s="149"/>
      <c r="ER24" s="149"/>
      <c r="ES24" s="149"/>
      <c r="ET24" s="149"/>
      <c r="EU24" s="149"/>
      <c r="EV24" s="149"/>
      <c r="EW24" s="149"/>
      <c r="EX24" s="149"/>
      <c r="EY24" s="149"/>
      <c r="EZ24" s="149"/>
      <c r="FA24" s="149"/>
      <c r="FB24" s="149"/>
      <c r="FC24" s="149"/>
      <c r="FD24" s="149"/>
      <c r="FE24" s="149"/>
      <c r="FF24" s="149"/>
      <c r="FG24" s="149"/>
      <c r="FH24" s="149"/>
      <c r="FI24" s="149"/>
      <c r="FJ24" s="149"/>
      <c r="FK24" s="149"/>
      <c r="FL24" s="149"/>
      <c r="FM24" s="149"/>
      <c r="FN24" s="149"/>
      <c r="FO24" s="149"/>
      <c r="FP24" s="149"/>
      <c r="FQ24" s="149"/>
      <c r="FR24" s="149"/>
      <c r="FS24" s="149"/>
      <c r="FT24" s="149"/>
      <c r="FU24" s="149"/>
      <c r="FV24" s="149"/>
      <c r="FW24" s="149"/>
      <c r="FX24" s="149"/>
      <c r="FY24" s="149"/>
      <c r="FZ24" s="149"/>
      <c r="GA24" s="149"/>
      <c r="GB24" s="149"/>
      <c r="GC24" s="149"/>
      <c r="GD24" s="149"/>
      <c r="GE24" s="149"/>
      <c r="GF24" s="149"/>
      <c r="GG24" s="149"/>
      <c r="GH24" s="149"/>
      <c r="GI24" s="149"/>
      <c r="GJ24" s="149"/>
      <c r="GK24" s="149"/>
      <c r="GL24" s="149"/>
      <c r="GM24" s="149"/>
      <c r="GN24" s="149"/>
      <c r="GO24" s="149"/>
      <c r="GP24" s="149"/>
      <c r="GQ24" s="149"/>
      <c r="GR24" s="149"/>
      <c r="GS24" s="149"/>
      <c r="GT24" s="149"/>
      <c r="GU24" s="149"/>
      <c r="GV24" s="149"/>
      <c r="GW24" s="149"/>
      <c r="GX24" s="149"/>
      <c r="GY24" s="149"/>
      <c r="GZ24" s="149"/>
      <c r="HA24" s="149"/>
      <c r="HB24" s="149"/>
      <c r="HC24" s="149"/>
      <c r="HD24" s="149"/>
      <c r="HE24" s="149"/>
      <c r="HF24" s="149"/>
      <c r="HG24" s="149"/>
      <c r="HH24" s="149"/>
      <c r="HI24" s="149"/>
    </row>
    <row r="25" spans="1:217" s="377" customFormat="1">
      <c r="A25" s="796"/>
      <c r="B25" s="86"/>
      <c r="C25" s="28"/>
      <c r="D25" s="164"/>
      <c r="E25" s="29"/>
      <c r="F25" s="29"/>
      <c r="G25" s="263"/>
      <c r="H25" s="8"/>
      <c r="I25" s="32"/>
      <c r="J25" s="8"/>
      <c r="K25" s="7"/>
      <c r="L25" s="333"/>
      <c r="M25" s="38"/>
      <c r="N25" s="30"/>
      <c r="O25" s="29"/>
      <c r="P25" s="29"/>
      <c r="Q25" s="29"/>
      <c r="R25" s="29"/>
      <c r="S25" s="44"/>
      <c r="T25" s="32"/>
      <c r="U25" s="1021"/>
      <c r="V25" s="376"/>
      <c r="W25" s="171"/>
      <c r="X25" s="1021"/>
      <c r="Y25" s="298"/>
      <c r="Z25" s="35"/>
      <c r="AA25" s="316"/>
      <c r="AB25" s="44"/>
      <c r="AC25" s="32"/>
      <c r="AD25" s="170"/>
      <c r="AE25" s="171"/>
      <c r="AF25" s="1056"/>
      <c r="AG25" s="1043"/>
      <c r="AH25" s="1036"/>
      <c r="AI25" s="1002"/>
      <c r="AJ25" s="47"/>
      <c r="AK25" s="585"/>
      <c r="AL25" s="47"/>
      <c r="AM25" s="9"/>
      <c r="AN25" s="180"/>
      <c r="AO25" s="34"/>
      <c r="AP25" s="31"/>
      <c r="AQ25" s="713"/>
      <c r="AR25" s="47"/>
      <c r="AS25" s="43"/>
      <c r="AT25" s="9"/>
      <c r="AU25" s="160"/>
      <c r="AV25" s="168"/>
      <c r="AW25" s="168"/>
      <c r="AX25" s="168"/>
      <c r="AY25" s="30"/>
      <c r="AZ25" s="143"/>
      <c r="BA25" s="188"/>
      <c r="BB25" s="419"/>
      <c r="BC25" s="419"/>
      <c r="BD25" s="884"/>
      <c r="BE25" s="30"/>
      <c r="BF25" s="1118"/>
      <c r="BG25" s="572"/>
      <c r="BH25" s="289"/>
      <c r="BI25" s="583"/>
      <c r="BJ25" s="149"/>
      <c r="BK25" s="149"/>
      <c r="BL25" s="149"/>
      <c r="BM25" s="149"/>
      <c r="BN25" s="149"/>
      <c r="BO25" s="149"/>
      <c r="BP25" s="149"/>
      <c r="BQ25" s="149"/>
      <c r="BR25" s="149"/>
      <c r="BS25" s="149"/>
      <c r="BT25" s="149"/>
      <c r="BU25" s="149"/>
      <c r="BV25" s="149"/>
      <c r="BW25" s="149"/>
      <c r="BX25" s="149"/>
      <c r="BY25" s="149"/>
      <c r="BZ25" s="149"/>
      <c r="CA25" s="149"/>
      <c r="CB25" s="149"/>
      <c r="CC25" s="149"/>
      <c r="CD25" s="149"/>
      <c r="CE25" s="149"/>
      <c r="CF25" s="149"/>
      <c r="CG25" s="149"/>
      <c r="CH25" s="149"/>
      <c r="CI25" s="149"/>
      <c r="CJ25" s="149"/>
      <c r="CK25" s="149"/>
      <c r="CL25" s="149"/>
      <c r="CM25" s="149"/>
      <c r="CN25" s="149"/>
      <c r="CO25" s="149"/>
      <c r="CP25" s="149"/>
      <c r="CQ25" s="149"/>
      <c r="CR25" s="149"/>
      <c r="CS25" s="149"/>
      <c r="CT25" s="149"/>
      <c r="CU25" s="149"/>
      <c r="CV25" s="149"/>
      <c r="CW25" s="149"/>
      <c r="CX25" s="149"/>
      <c r="CY25" s="149"/>
      <c r="CZ25" s="149"/>
      <c r="DA25" s="149"/>
      <c r="DB25" s="149"/>
      <c r="DC25" s="149"/>
      <c r="DD25" s="149"/>
      <c r="DE25" s="149"/>
      <c r="DF25" s="149"/>
      <c r="DG25" s="149"/>
      <c r="DH25" s="149"/>
      <c r="DI25" s="149"/>
      <c r="DJ25" s="149"/>
      <c r="DK25" s="149"/>
      <c r="DL25" s="149"/>
      <c r="DM25" s="149"/>
      <c r="DN25" s="149"/>
      <c r="DO25" s="149"/>
      <c r="DP25" s="149"/>
      <c r="DQ25" s="149"/>
      <c r="DR25" s="149"/>
      <c r="DS25" s="149"/>
      <c r="DT25" s="149"/>
      <c r="DU25" s="149"/>
      <c r="DV25" s="149"/>
      <c r="DW25" s="149"/>
      <c r="DX25" s="149"/>
      <c r="DY25" s="149"/>
      <c r="DZ25" s="149"/>
      <c r="EA25" s="149"/>
      <c r="EB25" s="149"/>
      <c r="EC25" s="149"/>
      <c r="ED25" s="149"/>
      <c r="EE25" s="149"/>
      <c r="EF25" s="149"/>
      <c r="EG25" s="149"/>
      <c r="EH25" s="149"/>
      <c r="EI25" s="149"/>
      <c r="EJ25" s="149"/>
      <c r="EK25" s="149"/>
      <c r="EL25" s="149"/>
      <c r="EM25" s="149"/>
      <c r="EN25" s="149"/>
      <c r="EO25" s="149"/>
      <c r="EP25" s="149"/>
      <c r="EQ25" s="149"/>
      <c r="ER25" s="149"/>
      <c r="ES25" s="149"/>
      <c r="ET25" s="149"/>
      <c r="EU25" s="149"/>
      <c r="EV25" s="149"/>
      <c r="EW25" s="149"/>
      <c r="EX25" s="149"/>
      <c r="EY25" s="149"/>
      <c r="EZ25" s="149"/>
      <c r="FA25" s="149"/>
      <c r="FB25" s="149"/>
      <c r="FC25" s="149"/>
      <c r="FD25" s="149"/>
      <c r="FE25" s="149"/>
      <c r="FF25" s="149"/>
      <c r="FG25" s="149"/>
      <c r="FH25" s="149"/>
      <c r="FI25" s="149"/>
      <c r="FJ25" s="149"/>
      <c r="FK25" s="149"/>
      <c r="FL25" s="149"/>
      <c r="FM25" s="149"/>
      <c r="FN25" s="149"/>
      <c r="FO25" s="149"/>
      <c r="FP25" s="149"/>
      <c r="FQ25" s="149"/>
      <c r="FR25" s="149"/>
      <c r="FS25" s="149"/>
      <c r="FT25" s="149"/>
      <c r="FU25" s="149"/>
      <c r="FV25" s="149"/>
      <c r="FW25" s="149"/>
      <c r="FX25" s="149"/>
      <c r="FY25" s="149"/>
      <c r="FZ25" s="149"/>
      <c r="GA25" s="149"/>
      <c r="GB25" s="149"/>
      <c r="GC25" s="149"/>
      <c r="GD25" s="149"/>
      <c r="GE25" s="149"/>
      <c r="GF25" s="149"/>
      <c r="GG25" s="149"/>
      <c r="GH25" s="149"/>
      <c r="GI25" s="149"/>
      <c r="GJ25" s="149"/>
      <c r="GK25" s="149"/>
      <c r="GL25" s="149"/>
      <c r="GM25" s="149"/>
      <c r="GN25" s="149"/>
      <c r="GO25" s="149"/>
      <c r="GP25" s="149"/>
      <c r="GQ25" s="149"/>
      <c r="GR25" s="149"/>
      <c r="GS25" s="149"/>
      <c r="GT25" s="149"/>
      <c r="GU25" s="149"/>
      <c r="GV25" s="149"/>
      <c r="GW25" s="149"/>
      <c r="GX25" s="149"/>
      <c r="GY25" s="149"/>
      <c r="GZ25" s="149"/>
      <c r="HA25" s="149"/>
      <c r="HB25" s="149"/>
      <c r="HC25" s="149"/>
      <c r="HD25" s="149"/>
      <c r="HE25" s="149"/>
      <c r="HF25" s="149"/>
      <c r="HG25" s="149"/>
      <c r="HH25" s="149"/>
      <c r="HI25" s="149"/>
    </row>
    <row r="26" spans="1:217" s="150" customFormat="1">
      <c r="A26" s="797"/>
      <c r="B26" s="85" t="s">
        <v>255</v>
      </c>
      <c r="C26" s="40"/>
      <c r="D26" s="165"/>
      <c r="E26" s="115" t="s">
        <v>109</v>
      </c>
      <c r="F26" s="115" t="s">
        <v>150</v>
      </c>
      <c r="G26" s="264" t="s">
        <v>85</v>
      </c>
      <c r="H26" s="117" t="s">
        <v>11</v>
      </c>
      <c r="I26" s="118" t="s">
        <v>146</v>
      </c>
      <c r="J26" s="117" t="s">
        <v>242</v>
      </c>
      <c r="K26" s="12" t="s">
        <v>112</v>
      </c>
      <c r="L26" s="336">
        <v>15.77</v>
      </c>
      <c r="M26" s="204"/>
      <c r="N26" s="41">
        <f>L26+M26</f>
        <v>15.77</v>
      </c>
      <c r="O26" s="115"/>
      <c r="P26" s="115">
        <f>N26+O26</f>
        <v>15.77</v>
      </c>
      <c r="Q26" s="115" t="s">
        <v>171</v>
      </c>
      <c r="R26" s="115"/>
      <c r="S26" s="301"/>
      <c r="T26" s="118">
        <v>20</v>
      </c>
      <c r="U26" s="1052">
        <f>T26/'Grondslag bouw &amp; infra'!$B$50</f>
        <v>7.662835249042145E-2</v>
      </c>
      <c r="V26" s="120">
        <v>0</v>
      </c>
      <c r="W26" s="80">
        <v>0</v>
      </c>
      <c r="X26" s="1052">
        <f>(V26+W26)/'Grondslag bouw &amp; infra'!$B$50</f>
        <v>0</v>
      </c>
      <c r="Y26" s="300"/>
      <c r="Z26" s="119"/>
      <c r="AA26" s="318"/>
      <c r="AB26" s="301"/>
      <c r="AC26" s="118">
        <v>5</v>
      </c>
      <c r="AD26" s="79">
        <v>20</v>
      </c>
      <c r="AE26" s="80">
        <v>0</v>
      </c>
      <c r="AF26" s="1052">
        <f>(AC26+AD26+AE26)/'Grondslag bouw &amp; infra'!$B$50</f>
        <v>9.5785440613026823E-2</v>
      </c>
      <c r="AG26" s="1041"/>
      <c r="AH26" s="522">
        <f>(AQ26-'Grondslag bouw &amp; infra'!$B$46)*'Grondslag bouw &amp; infra'!$B$43</f>
        <v>0.23420395549314185</v>
      </c>
      <c r="AI26" s="1001">
        <v>3.6499999999999998E-2</v>
      </c>
      <c r="AJ26" s="302"/>
      <c r="AK26" s="1008"/>
      <c r="AL26" s="302"/>
      <c r="AM26" s="138">
        <f>$AN$6*AN26</f>
        <v>0</v>
      </c>
      <c r="AN26" s="904"/>
      <c r="AO26" s="116"/>
      <c r="AP26" s="141"/>
      <c r="AQ26" s="30">
        <f>(P26*(AF26+AI26)+P26)</f>
        <v>17.856141398467432</v>
      </c>
      <c r="AR26" s="302"/>
      <c r="AS26" s="307"/>
      <c r="AT26" s="115"/>
      <c r="AU26" s="29"/>
      <c r="AV26" s="29">
        <v>0.68</v>
      </c>
      <c r="AW26" s="29">
        <v>1.1000000000000001</v>
      </c>
      <c r="AX26" s="29">
        <v>0.48</v>
      </c>
      <c r="AY26" s="41">
        <f>SUM(AS26:AX26)</f>
        <v>2.2600000000000002</v>
      </c>
      <c r="AZ26" s="115">
        <v>0.32</v>
      </c>
      <c r="BA26" s="303"/>
      <c r="BB26" s="881">
        <v>750</v>
      </c>
      <c r="BC26" s="881">
        <f>2549.25/4</f>
        <v>637.3125</v>
      </c>
      <c r="BD26" s="419">
        <f>(BB26-(AY26*5))*(1-1%)</f>
        <v>731.31299999999999</v>
      </c>
      <c r="BE26" s="41">
        <f>BD26</f>
        <v>731.31299999999999</v>
      </c>
      <c r="BF26" s="1120">
        <f>BD26</f>
        <v>731.31299999999999</v>
      </c>
      <c r="BG26" s="569"/>
      <c r="BH26" s="289"/>
      <c r="BI26" s="586"/>
      <c r="BJ26" s="149"/>
      <c r="BK26" s="149"/>
      <c r="BL26" s="149"/>
      <c r="BM26" s="149"/>
      <c r="BN26" s="149"/>
      <c r="BO26" s="149"/>
      <c r="BP26" s="149"/>
      <c r="BQ26" s="149"/>
      <c r="BR26" s="149"/>
      <c r="BS26" s="149"/>
      <c r="BT26" s="149"/>
      <c r="BU26" s="149"/>
      <c r="BV26" s="149"/>
      <c r="BW26" s="149"/>
      <c r="BX26" s="149"/>
      <c r="BY26" s="149"/>
      <c r="BZ26" s="149"/>
      <c r="CA26" s="149"/>
      <c r="CB26" s="149"/>
      <c r="CC26" s="149"/>
      <c r="CD26" s="149"/>
      <c r="CE26" s="149"/>
      <c r="CF26" s="149"/>
      <c r="CG26" s="149"/>
      <c r="CH26" s="149"/>
      <c r="CI26" s="149"/>
      <c r="CJ26" s="149"/>
      <c r="CK26" s="149"/>
      <c r="CL26" s="149"/>
      <c r="CM26" s="149"/>
      <c r="CN26" s="149"/>
      <c r="CO26" s="149"/>
      <c r="CP26" s="149"/>
      <c r="CQ26" s="149"/>
      <c r="CR26" s="149"/>
      <c r="CS26" s="149"/>
      <c r="CT26" s="149"/>
      <c r="CU26" s="149"/>
      <c r="CV26" s="149"/>
      <c r="CW26" s="149"/>
      <c r="CX26" s="149"/>
      <c r="CY26" s="149"/>
      <c r="CZ26" s="149"/>
      <c r="DA26" s="149"/>
      <c r="DB26" s="149"/>
      <c r="DC26" s="149"/>
      <c r="DD26" s="149"/>
      <c r="DE26" s="149"/>
      <c r="DF26" s="149"/>
      <c r="DG26" s="149"/>
      <c r="DH26" s="149"/>
      <c r="DI26" s="149"/>
      <c r="DJ26" s="149"/>
      <c r="DK26" s="149"/>
      <c r="DL26" s="149"/>
      <c r="DM26" s="149"/>
      <c r="DN26" s="149"/>
      <c r="DO26" s="149"/>
      <c r="DP26" s="149"/>
      <c r="DQ26" s="149"/>
      <c r="DR26" s="149"/>
      <c r="DS26" s="149"/>
      <c r="DT26" s="149"/>
      <c r="DU26" s="149"/>
      <c r="DV26" s="149"/>
      <c r="DW26" s="149"/>
      <c r="DX26" s="149"/>
      <c r="DY26" s="149"/>
      <c r="DZ26" s="149"/>
      <c r="EA26" s="149"/>
      <c r="EB26" s="149"/>
      <c r="EC26" s="149"/>
      <c r="ED26" s="149"/>
      <c r="EE26" s="149"/>
      <c r="EF26" s="149"/>
      <c r="EG26" s="149"/>
      <c r="EH26" s="149"/>
      <c r="EI26" s="149"/>
      <c r="EJ26" s="149"/>
      <c r="EK26" s="149"/>
      <c r="EL26" s="149"/>
      <c r="EM26" s="149"/>
      <c r="EN26" s="149"/>
      <c r="EO26" s="149"/>
      <c r="EP26" s="149"/>
      <c r="EQ26" s="149"/>
      <c r="ER26" s="149"/>
      <c r="ES26" s="149"/>
      <c r="ET26" s="149"/>
      <c r="EU26" s="149"/>
      <c r="EV26" s="149"/>
      <c r="EW26" s="149"/>
      <c r="EX26" s="149"/>
      <c r="EY26" s="149"/>
      <c r="EZ26" s="149"/>
      <c r="FA26" s="149"/>
      <c r="FB26" s="149"/>
      <c r="FC26" s="149"/>
      <c r="FD26" s="149"/>
      <c r="FE26" s="149"/>
      <c r="FF26" s="149"/>
      <c r="FG26" s="149"/>
      <c r="FH26" s="149"/>
      <c r="FI26" s="149"/>
      <c r="FJ26" s="149"/>
      <c r="FK26" s="149"/>
      <c r="FL26" s="149"/>
      <c r="FM26" s="149"/>
      <c r="FN26" s="149"/>
      <c r="FO26" s="149"/>
      <c r="FP26" s="149"/>
      <c r="FQ26" s="149"/>
      <c r="FR26" s="149"/>
      <c r="FS26" s="149"/>
      <c r="FT26" s="149"/>
      <c r="FU26" s="149"/>
      <c r="FV26" s="149"/>
      <c r="FW26" s="149"/>
      <c r="FX26" s="149"/>
      <c r="FY26" s="149"/>
      <c r="FZ26" s="149"/>
      <c r="GA26" s="149"/>
      <c r="GB26" s="149"/>
      <c r="GC26" s="149"/>
      <c r="GD26" s="149"/>
      <c r="GE26" s="149"/>
      <c r="GF26" s="149"/>
      <c r="GG26" s="149"/>
      <c r="GH26" s="149"/>
      <c r="GI26" s="149"/>
      <c r="GJ26" s="149"/>
      <c r="GK26" s="149"/>
      <c r="GL26" s="149"/>
      <c r="GM26" s="149"/>
      <c r="GN26" s="149"/>
      <c r="GO26" s="149"/>
      <c r="GP26" s="149"/>
      <c r="GQ26" s="149"/>
      <c r="GR26" s="149"/>
      <c r="GS26" s="149"/>
      <c r="GT26" s="149"/>
      <c r="GU26" s="149"/>
      <c r="GV26" s="149"/>
      <c r="GW26" s="149"/>
      <c r="GX26" s="149"/>
      <c r="GY26" s="149"/>
      <c r="GZ26" s="149"/>
      <c r="HA26" s="149"/>
      <c r="HB26" s="149"/>
      <c r="HC26" s="149"/>
      <c r="HD26" s="149"/>
      <c r="HE26" s="149"/>
      <c r="HF26" s="149"/>
      <c r="HG26" s="149"/>
      <c r="HH26" s="149"/>
      <c r="HI26" s="149"/>
    </row>
    <row r="27" spans="1:217" s="150" customFormat="1">
      <c r="A27" s="796"/>
      <c r="B27" s="86"/>
      <c r="C27" s="28"/>
      <c r="D27" s="164"/>
      <c r="E27" s="29"/>
      <c r="F27" s="29"/>
      <c r="G27" s="263"/>
      <c r="H27" s="143"/>
      <c r="I27" s="32"/>
      <c r="J27" s="1234"/>
      <c r="K27" s="180"/>
      <c r="L27" s="333"/>
      <c r="M27" s="38"/>
      <c r="N27" s="30"/>
      <c r="O27" s="29"/>
      <c r="P27" s="284"/>
      <c r="Q27" s="29"/>
      <c r="R27" s="29"/>
      <c r="S27" s="44"/>
      <c r="T27" s="32"/>
      <c r="U27" s="1016"/>
      <c r="V27" s="79"/>
      <c r="W27" s="80"/>
      <c r="X27" s="1016"/>
      <c r="Y27" s="298"/>
      <c r="Z27" s="35"/>
      <c r="AA27" s="316"/>
      <c r="AB27" s="44"/>
      <c r="AC27" s="32"/>
      <c r="AD27" s="79"/>
      <c r="AE27" s="80"/>
      <c r="AF27" s="1052"/>
      <c r="AG27" s="1041"/>
      <c r="AH27" s="522"/>
      <c r="AI27" s="1001"/>
      <c r="AJ27" s="47"/>
      <c r="AK27" s="584"/>
      <c r="AL27" s="47"/>
      <c r="AM27" s="9"/>
      <c r="AN27" s="180"/>
      <c r="AO27" s="34"/>
      <c r="AP27" s="31"/>
      <c r="AQ27" s="706"/>
      <c r="AR27" s="47"/>
      <c r="AS27" s="43"/>
      <c r="AT27" s="29"/>
      <c r="AU27" s="29"/>
      <c r="AV27" s="29"/>
      <c r="AW27" s="29"/>
      <c r="AX27" s="29"/>
      <c r="AY27" s="30"/>
      <c r="AZ27" s="143"/>
      <c r="BA27" s="188"/>
      <c r="BB27" s="419"/>
      <c r="BC27" s="419"/>
      <c r="BD27" s="419"/>
      <c r="BE27" s="30"/>
      <c r="BF27" s="1118"/>
      <c r="BG27" s="572"/>
      <c r="BH27" s="289"/>
      <c r="BI27" s="583"/>
      <c r="BJ27" s="149"/>
      <c r="BK27" s="149"/>
      <c r="BL27" s="149"/>
      <c r="BM27" s="149"/>
      <c r="BN27" s="149"/>
      <c r="BO27" s="149"/>
      <c r="BP27" s="149"/>
      <c r="BQ27" s="149"/>
      <c r="BR27" s="149"/>
      <c r="BS27" s="149"/>
      <c r="BT27" s="149"/>
      <c r="BU27" s="149"/>
      <c r="BV27" s="149"/>
      <c r="BW27" s="149"/>
      <c r="BX27" s="149"/>
      <c r="BY27" s="149"/>
      <c r="BZ27" s="149"/>
      <c r="CA27" s="149"/>
      <c r="CB27" s="149"/>
      <c r="CC27" s="149"/>
      <c r="CD27" s="149"/>
      <c r="CE27" s="149"/>
      <c r="CF27" s="149"/>
      <c r="CG27" s="149"/>
      <c r="CH27" s="149"/>
      <c r="CI27" s="149"/>
      <c r="CJ27" s="149"/>
      <c r="CK27" s="149"/>
      <c r="CL27" s="149"/>
      <c r="CM27" s="149"/>
      <c r="CN27" s="149"/>
      <c r="CO27" s="149"/>
      <c r="CP27" s="149"/>
      <c r="CQ27" s="149"/>
      <c r="CR27" s="149"/>
      <c r="CS27" s="149"/>
      <c r="CT27" s="149"/>
      <c r="CU27" s="149"/>
      <c r="CV27" s="149"/>
      <c r="CW27" s="149"/>
      <c r="CX27" s="149"/>
      <c r="CY27" s="149"/>
      <c r="CZ27" s="149"/>
      <c r="DA27" s="149"/>
      <c r="DB27" s="149"/>
      <c r="DC27" s="149"/>
      <c r="DD27" s="149"/>
      <c r="DE27" s="149"/>
      <c r="DF27" s="149"/>
      <c r="DG27" s="149"/>
      <c r="DH27" s="149"/>
      <c r="DI27" s="149"/>
      <c r="DJ27" s="149"/>
      <c r="DK27" s="149"/>
      <c r="DL27" s="149"/>
      <c r="DM27" s="149"/>
      <c r="DN27" s="149"/>
      <c r="DO27" s="149"/>
      <c r="DP27" s="149"/>
      <c r="DQ27" s="149"/>
      <c r="DR27" s="149"/>
      <c r="DS27" s="149"/>
      <c r="DT27" s="149"/>
      <c r="DU27" s="149"/>
      <c r="DV27" s="149"/>
      <c r="DW27" s="149"/>
      <c r="DX27" s="149"/>
      <c r="DY27" s="149"/>
      <c r="DZ27" s="149"/>
      <c r="EA27" s="149"/>
      <c r="EB27" s="149"/>
      <c r="EC27" s="149"/>
      <c r="ED27" s="149"/>
      <c r="EE27" s="149"/>
      <c r="EF27" s="149"/>
      <c r="EG27" s="149"/>
      <c r="EH27" s="149"/>
      <c r="EI27" s="149"/>
      <c r="EJ27" s="149"/>
      <c r="EK27" s="149"/>
      <c r="EL27" s="149"/>
      <c r="EM27" s="149"/>
      <c r="EN27" s="149"/>
      <c r="EO27" s="149"/>
      <c r="EP27" s="149"/>
      <c r="EQ27" s="149"/>
      <c r="ER27" s="149"/>
      <c r="ES27" s="149"/>
      <c r="ET27" s="149"/>
      <c r="EU27" s="149"/>
      <c r="EV27" s="149"/>
      <c r="EW27" s="149"/>
      <c r="EX27" s="149"/>
      <c r="EY27" s="149"/>
      <c r="EZ27" s="149"/>
      <c r="FA27" s="149"/>
      <c r="FB27" s="149"/>
      <c r="FC27" s="149"/>
      <c r="FD27" s="149"/>
      <c r="FE27" s="149"/>
      <c r="FF27" s="149"/>
      <c r="FG27" s="149"/>
      <c r="FH27" s="149"/>
      <c r="FI27" s="149"/>
      <c r="FJ27" s="149"/>
      <c r="FK27" s="149"/>
      <c r="FL27" s="149"/>
      <c r="FM27" s="149"/>
      <c r="FN27" s="149"/>
      <c r="FO27" s="149"/>
      <c r="FP27" s="149"/>
      <c r="FQ27" s="149"/>
      <c r="FR27" s="149"/>
      <c r="FS27" s="149"/>
      <c r="FT27" s="149"/>
      <c r="FU27" s="149"/>
      <c r="FV27" s="149"/>
      <c r="FW27" s="149"/>
      <c r="FX27" s="149"/>
      <c r="FY27" s="149"/>
      <c r="FZ27" s="149"/>
      <c r="GA27" s="149"/>
      <c r="GB27" s="149"/>
      <c r="GC27" s="149"/>
      <c r="GD27" s="149"/>
      <c r="GE27" s="149"/>
      <c r="GF27" s="149"/>
      <c r="GG27" s="149"/>
      <c r="GH27" s="149"/>
      <c r="GI27" s="149"/>
      <c r="GJ27" s="149"/>
      <c r="GK27" s="149"/>
      <c r="GL27" s="149"/>
      <c r="GM27" s="149"/>
      <c r="GN27" s="149"/>
      <c r="GO27" s="149"/>
      <c r="GP27" s="149"/>
      <c r="GQ27" s="149"/>
      <c r="GR27" s="149"/>
      <c r="GS27" s="149"/>
      <c r="GT27" s="149"/>
      <c r="GU27" s="149"/>
      <c r="GV27" s="149"/>
      <c r="GW27" s="149"/>
      <c r="GX27" s="149"/>
      <c r="GY27" s="149"/>
      <c r="GZ27" s="149"/>
      <c r="HA27" s="149"/>
      <c r="HB27" s="149"/>
      <c r="HC27" s="149"/>
      <c r="HD27" s="149"/>
      <c r="HE27" s="149"/>
      <c r="HF27" s="149"/>
      <c r="HG27" s="149"/>
      <c r="HH27" s="149"/>
      <c r="HI27" s="149"/>
    </row>
    <row r="28" spans="1:217" s="149" customFormat="1">
      <c r="A28" s="289"/>
      <c r="B28" s="618"/>
      <c r="C28" s="191"/>
      <c r="D28" s="189"/>
      <c r="E28" s="29"/>
      <c r="F28" s="161"/>
      <c r="G28" s="266"/>
      <c r="H28" s="190"/>
      <c r="I28" s="190"/>
      <c r="J28" s="190"/>
      <c r="K28" s="195"/>
      <c r="L28" s="335"/>
      <c r="M28" s="218"/>
      <c r="N28" s="168"/>
      <c r="O28" s="161"/>
      <c r="P28" s="284"/>
      <c r="Q28" s="161"/>
      <c r="R28" s="161"/>
      <c r="S28" s="196"/>
      <c r="T28" s="190"/>
      <c r="U28" s="1017"/>
      <c r="V28" s="190"/>
      <c r="W28" s="199"/>
      <c r="X28" s="1017"/>
      <c r="Y28" s="299"/>
      <c r="Z28" s="274"/>
      <c r="AA28" s="317"/>
      <c r="AB28" s="196"/>
      <c r="AC28" s="190"/>
      <c r="AD28" s="199"/>
      <c r="AE28" s="623"/>
      <c r="AF28" s="1053"/>
      <c r="AG28" s="1044"/>
      <c r="AH28" s="624"/>
      <c r="AI28" s="1002"/>
      <c r="AJ28" s="198"/>
      <c r="AK28" s="585"/>
      <c r="AL28" s="198"/>
      <c r="AM28" s="161"/>
      <c r="AN28" s="902"/>
      <c r="AO28" s="197"/>
      <c r="AP28" s="193"/>
      <c r="AQ28" s="624"/>
      <c r="AR28" s="198"/>
      <c r="AS28" s="304"/>
      <c r="AT28" s="161"/>
      <c r="AU28" s="200"/>
      <c r="AV28" s="200"/>
      <c r="AW28" s="200"/>
      <c r="AX28" s="200"/>
      <c r="AY28" s="189"/>
      <c r="AZ28" s="199"/>
      <c r="BA28" s="196"/>
      <c r="BB28" s="882"/>
      <c r="BC28" s="882"/>
      <c r="BD28" s="887"/>
      <c r="BE28" s="29"/>
      <c r="BF28" s="1121"/>
      <c r="BG28" s="570"/>
      <c r="BH28" s="289"/>
      <c r="BI28" s="583"/>
    </row>
    <row r="29" spans="1:217" s="1170" customFormat="1">
      <c r="A29" s="289"/>
      <c r="B29" s="1155"/>
      <c r="C29" s="1156"/>
      <c r="D29" s="953"/>
      <c r="E29" s="955"/>
      <c r="F29" s="955"/>
      <c r="G29" s="1157"/>
      <c r="H29" s="1158"/>
      <c r="I29" s="1156"/>
      <c r="J29" s="1158"/>
      <c r="K29" s="1159"/>
      <c r="L29" s="1160"/>
      <c r="M29" s="955"/>
      <c r="N29" s="953"/>
      <c r="O29" s="955"/>
      <c r="P29" s="955"/>
      <c r="Q29" s="955"/>
      <c r="R29" s="955"/>
      <c r="S29" s="1161"/>
      <c r="T29" s="1156"/>
      <c r="U29" s="1065"/>
      <c r="V29" s="1156"/>
      <c r="W29" s="940"/>
      <c r="X29" s="1065"/>
      <c r="Y29" s="1162"/>
      <c r="Z29" s="1163"/>
      <c r="AA29" s="946"/>
      <c r="AB29" s="1161"/>
      <c r="AC29" s="1156"/>
      <c r="AD29" s="940"/>
      <c r="AE29" s="940"/>
      <c r="AF29" s="1065"/>
      <c r="AG29" s="926"/>
      <c r="AH29" s="1106"/>
      <c r="AI29" s="1164"/>
      <c r="AJ29" s="1165"/>
      <c r="AK29" s="1166"/>
      <c r="AL29" s="1165"/>
      <c r="AM29" s="955"/>
      <c r="AN29" s="956"/>
      <c r="AO29" s="953"/>
      <c r="AP29" s="1167"/>
      <c r="AQ29" s="937"/>
      <c r="AR29" s="1165"/>
      <c r="AS29" s="1168"/>
      <c r="AT29" s="955"/>
      <c r="AU29" s="938"/>
      <c r="AV29" s="938"/>
      <c r="AW29" s="938"/>
      <c r="AX29" s="938"/>
      <c r="AY29" s="953"/>
      <c r="AZ29" s="936"/>
      <c r="BA29" s="1169"/>
      <c r="BB29" s="953"/>
      <c r="BC29" s="953"/>
      <c r="BD29" s="937"/>
      <c r="BE29" s="953"/>
      <c r="BF29" s="937"/>
      <c r="BG29" s="957"/>
      <c r="BH29" s="951"/>
      <c r="BI29" s="952"/>
      <c r="BJ29" s="951"/>
      <c r="BK29" s="951"/>
      <c r="BL29" s="951"/>
      <c r="BM29" s="951"/>
      <c r="BN29" s="951"/>
      <c r="BO29" s="951"/>
      <c r="BP29" s="951"/>
      <c r="BQ29" s="951"/>
      <c r="BR29" s="951"/>
      <c r="BS29" s="951"/>
      <c r="BT29" s="951"/>
      <c r="BU29" s="951"/>
      <c r="BV29" s="951"/>
      <c r="BW29" s="951"/>
      <c r="BX29" s="951"/>
      <c r="BY29" s="951"/>
      <c r="BZ29" s="951"/>
      <c r="CA29" s="951"/>
      <c r="CB29" s="951"/>
      <c r="CC29" s="951"/>
      <c r="CD29" s="951"/>
      <c r="CE29" s="951"/>
      <c r="CF29" s="951"/>
      <c r="CG29" s="951"/>
      <c r="CH29" s="951"/>
      <c r="CI29" s="951"/>
      <c r="CJ29" s="951"/>
      <c r="CK29" s="951"/>
      <c r="CL29" s="951"/>
      <c r="CM29" s="951"/>
      <c r="CN29" s="951"/>
      <c r="CO29" s="951"/>
      <c r="CP29" s="951"/>
      <c r="CQ29" s="951"/>
      <c r="CR29" s="951"/>
      <c r="CS29" s="951"/>
      <c r="CT29" s="951"/>
      <c r="CU29" s="951"/>
      <c r="CV29" s="951"/>
      <c r="CW29" s="951"/>
      <c r="CX29" s="951"/>
      <c r="CY29" s="951"/>
      <c r="CZ29" s="951"/>
      <c r="DA29" s="951"/>
      <c r="DB29" s="951"/>
      <c r="DC29" s="951"/>
      <c r="DD29" s="951"/>
      <c r="DE29" s="951"/>
      <c r="DF29" s="951"/>
      <c r="DG29" s="951"/>
      <c r="DH29" s="951"/>
      <c r="DI29" s="951"/>
      <c r="DJ29" s="951"/>
      <c r="DK29" s="951"/>
      <c r="DL29" s="951"/>
      <c r="DM29" s="951"/>
      <c r="DN29" s="951"/>
      <c r="DO29" s="951"/>
      <c r="DP29" s="951"/>
      <c r="DQ29" s="951"/>
      <c r="DR29" s="951"/>
      <c r="DS29" s="951"/>
      <c r="DT29" s="951"/>
      <c r="DU29" s="951"/>
      <c r="DV29" s="951"/>
      <c r="DW29" s="951"/>
      <c r="DX29" s="951"/>
      <c r="DY29" s="951"/>
      <c r="DZ29" s="951"/>
      <c r="EA29" s="951"/>
      <c r="EB29" s="951"/>
      <c r="EC29" s="951"/>
      <c r="ED29" s="951"/>
      <c r="EE29" s="951"/>
      <c r="EF29" s="951"/>
      <c r="EG29" s="951"/>
      <c r="EH29" s="951"/>
      <c r="EI29" s="951"/>
      <c r="EJ29" s="951"/>
      <c r="EK29" s="951"/>
      <c r="EL29" s="951"/>
      <c r="EM29" s="951"/>
      <c r="EN29" s="951"/>
      <c r="EO29" s="951"/>
      <c r="EP29" s="951"/>
      <c r="EQ29" s="951"/>
      <c r="ER29" s="951"/>
      <c r="ES29" s="951"/>
      <c r="ET29" s="951"/>
      <c r="EU29" s="951"/>
      <c r="EV29" s="951"/>
      <c r="EW29" s="951"/>
      <c r="EX29" s="951"/>
      <c r="EY29" s="951"/>
      <c r="EZ29" s="951"/>
      <c r="FA29" s="951"/>
      <c r="FB29" s="951"/>
      <c r="FC29" s="951"/>
      <c r="FD29" s="951"/>
      <c r="FE29" s="951"/>
      <c r="FF29" s="951"/>
      <c r="FG29" s="951"/>
      <c r="FH29" s="951"/>
      <c r="FI29" s="951"/>
      <c r="FJ29" s="951"/>
      <c r="FK29" s="951"/>
      <c r="FL29" s="951"/>
      <c r="FM29" s="951"/>
      <c r="FN29" s="951"/>
      <c r="FO29" s="951"/>
      <c r="FP29" s="951"/>
      <c r="FQ29" s="951"/>
      <c r="FR29" s="951"/>
      <c r="FS29" s="951"/>
      <c r="FT29" s="951"/>
      <c r="FU29" s="951"/>
      <c r="FV29" s="951"/>
      <c r="FW29" s="951"/>
      <c r="FX29" s="951"/>
      <c r="FY29" s="951"/>
      <c r="FZ29" s="951"/>
      <c r="GA29" s="951"/>
      <c r="GB29" s="951"/>
      <c r="GC29" s="951"/>
      <c r="GD29" s="951"/>
      <c r="GE29" s="951"/>
      <c r="GF29" s="951"/>
      <c r="GG29" s="951"/>
      <c r="GH29" s="951"/>
      <c r="GI29" s="951"/>
      <c r="GJ29" s="951"/>
      <c r="GK29" s="951"/>
      <c r="GL29" s="951"/>
      <c r="GM29" s="951"/>
      <c r="GN29" s="951"/>
      <c r="GO29" s="951"/>
      <c r="GP29" s="951"/>
      <c r="GQ29" s="951"/>
      <c r="GR29" s="951"/>
      <c r="GS29" s="951"/>
      <c r="GT29" s="951"/>
      <c r="GU29" s="951"/>
      <c r="GV29" s="951"/>
      <c r="GW29" s="951"/>
      <c r="GX29" s="951"/>
      <c r="GY29" s="951"/>
      <c r="GZ29" s="951"/>
      <c r="HA29" s="951"/>
      <c r="HB29" s="951"/>
      <c r="HC29" s="951"/>
      <c r="HD29" s="951"/>
      <c r="HE29" s="951"/>
      <c r="HF29" s="951"/>
      <c r="HG29" s="951"/>
      <c r="HH29" s="951"/>
      <c r="HI29" s="951"/>
    </row>
    <row r="30" spans="1:217" s="405" customFormat="1">
      <c r="A30" s="796"/>
      <c r="B30" s="620"/>
      <c r="C30" s="283"/>
      <c r="D30" s="105"/>
      <c r="E30" s="284"/>
      <c r="F30" s="284"/>
      <c r="G30" s="281"/>
      <c r="H30" s="282"/>
      <c r="I30" s="283"/>
      <c r="J30" s="282"/>
      <c r="K30" s="174"/>
      <c r="L30" s="398"/>
      <c r="M30" s="284"/>
      <c r="N30" s="105"/>
      <c r="O30" s="284"/>
      <c r="P30" s="284"/>
      <c r="Q30" s="284"/>
      <c r="R30" s="284"/>
      <c r="S30" s="399"/>
      <c r="T30" s="283"/>
      <c r="U30" s="1019"/>
      <c r="V30" s="283"/>
      <c r="W30" s="283"/>
      <c r="X30" s="1019"/>
      <c r="Y30" s="401"/>
      <c r="Z30" s="400"/>
      <c r="AA30" s="402"/>
      <c r="AB30" s="399"/>
      <c r="AC30" s="283"/>
      <c r="AD30" s="283"/>
      <c r="AE30" s="283"/>
      <c r="AF30" s="1055"/>
      <c r="AG30" s="401"/>
      <c r="AH30" s="1098"/>
      <c r="AI30" s="1001"/>
      <c r="AJ30" s="403"/>
      <c r="AK30" s="584"/>
      <c r="AL30" s="403"/>
      <c r="AM30" s="284"/>
      <c r="AN30" s="905"/>
      <c r="AO30" s="105"/>
      <c r="AP30" s="286"/>
      <c r="AQ30" s="710"/>
      <c r="AR30" s="403"/>
      <c r="AS30" s="389"/>
      <c r="AT30" s="284"/>
      <c r="AU30" s="284"/>
      <c r="AV30" s="284"/>
      <c r="AW30" s="284"/>
      <c r="AX30" s="284"/>
      <c r="AY30" s="105"/>
      <c r="AZ30" s="282"/>
      <c r="BA30" s="404"/>
      <c r="BB30" s="419"/>
      <c r="BC30" s="419"/>
      <c r="BD30" s="419"/>
      <c r="BE30" s="30"/>
      <c r="BF30" s="1117"/>
      <c r="BG30" s="575"/>
      <c r="BH30" s="289"/>
      <c r="BI30" s="583"/>
      <c r="BJ30" s="175"/>
      <c r="BK30" s="175"/>
      <c r="BL30" s="175"/>
      <c r="BM30" s="175"/>
      <c r="BN30" s="175"/>
      <c r="BO30" s="175"/>
      <c r="BP30" s="175"/>
      <c r="BQ30" s="175"/>
      <c r="BR30" s="175"/>
      <c r="BS30" s="175"/>
      <c r="BT30" s="175"/>
      <c r="BU30" s="175"/>
      <c r="BV30" s="175"/>
      <c r="BW30" s="175"/>
      <c r="BX30" s="175"/>
      <c r="BY30" s="175"/>
      <c r="BZ30" s="175"/>
      <c r="CA30" s="175"/>
      <c r="CB30" s="175"/>
      <c r="CC30" s="175"/>
      <c r="CD30" s="175"/>
      <c r="CE30" s="175"/>
      <c r="CF30" s="175"/>
      <c r="CG30" s="175"/>
      <c r="CH30" s="175"/>
      <c r="CI30" s="175"/>
      <c r="CJ30" s="175"/>
      <c r="CK30" s="175"/>
      <c r="CL30" s="175"/>
      <c r="CM30" s="175"/>
      <c r="CN30" s="175"/>
      <c r="CO30" s="175"/>
      <c r="CP30" s="175"/>
      <c r="CQ30" s="175"/>
      <c r="CR30" s="175"/>
      <c r="CS30" s="175"/>
      <c r="CT30" s="175"/>
      <c r="CU30" s="175"/>
      <c r="CV30" s="175"/>
      <c r="CW30" s="175"/>
      <c r="CX30" s="175"/>
      <c r="CY30" s="175"/>
      <c r="CZ30" s="175"/>
      <c r="DA30" s="175"/>
      <c r="DB30" s="175"/>
      <c r="DC30" s="175"/>
      <c r="DD30" s="175"/>
      <c r="DE30" s="175"/>
      <c r="DF30" s="175"/>
      <c r="DG30" s="175"/>
      <c r="DH30" s="175"/>
      <c r="DI30" s="175"/>
      <c r="DJ30" s="175"/>
      <c r="DK30" s="175"/>
      <c r="DL30" s="175"/>
      <c r="DM30" s="175"/>
      <c r="DN30" s="175"/>
      <c r="DO30" s="175"/>
      <c r="DP30" s="175"/>
      <c r="DQ30" s="175"/>
      <c r="DR30" s="175"/>
      <c r="DS30" s="175"/>
      <c r="DT30" s="175"/>
      <c r="DU30" s="175"/>
      <c r="DV30" s="175"/>
      <c r="DW30" s="175"/>
      <c r="DX30" s="175"/>
      <c r="DY30" s="175"/>
      <c r="DZ30" s="175"/>
      <c r="EA30" s="175"/>
      <c r="EB30" s="175"/>
      <c r="EC30" s="175"/>
      <c r="ED30" s="175"/>
      <c r="EE30" s="175"/>
      <c r="EF30" s="175"/>
      <c r="EG30" s="175"/>
      <c r="EH30" s="175"/>
      <c r="EI30" s="175"/>
      <c r="EJ30" s="175"/>
      <c r="EK30" s="175"/>
      <c r="EL30" s="175"/>
      <c r="EM30" s="175"/>
      <c r="EN30" s="175"/>
      <c r="EO30" s="175"/>
      <c r="EP30" s="175"/>
      <c r="EQ30" s="175"/>
      <c r="ER30" s="175"/>
      <c r="ES30" s="175"/>
      <c r="ET30" s="175"/>
      <c r="EU30" s="175"/>
      <c r="EV30" s="175"/>
      <c r="EW30" s="175"/>
      <c r="EX30" s="175"/>
      <c r="EY30" s="175"/>
      <c r="EZ30" s="175"/>
      <c r="FA30" s="175"/>
      <c r="FB30" s="175"/>
      <c r="FC30" s="175"/>
      <c r="FD30" s="175"/>
      <c r="FE30" s="175"/>
      <c r="FF30" s="175"/>
      <c r="FG30" s="175"/>
      <c r="FH30" s="175"/>
      <c r="FI30" s="175"/>
      <c r="FJ30" s="175"/>
      <c r="FK30" s="175"/>
      <c r="FL30" s="175"/>
      <c r="FM30" s="175"/>
      <c r="FN30" s="175"/>
      <c r="FO30" s="175"/>
      <c r="FP30" s="175"/>
      <c r="FQ30" s="175"/>
      <c r="FR30" s="175"/>
      <c r="FS30" s="175"/>
      <c r="FT30" s="175"/>
      <c r="FU30" s="175"/>
      <c r="FV30" s="175"/>
      <c r="FW30" s="175"/>
      <c r="FX30" s="175"/>
      <c r="FY30" s="175"/>
      <c r="FZ30" s="175"/>
      <c r="GA30" s="175"/>
      <c r="GB30" s="175"/>
      <c r="GC30" s="175"/>
      <c r="GD30" s="175"/>
      <c r="GE30" s="175"/>
      <c r="GF30" s="175"/>
      <c r="GG30" s="175"/>
      <c r="GH30" s="175"/>
      <c r="GI30" s="175"/>
      <c r="GJ30" s="175"/>
      <c r="GK30" s="175"/>
      <c r="GL30" s="175"/>
      <c r="GM30" s="175"/>
      <c r="GN30" s="175"/>
      <c r="GO30" s="175"/>
      <c r="GP30" s="175"/>
      <c r="GQ30" s="175"/>
      <c r="GR30" s="175"/>
      <c r="GS30" s="175"/>
      <c r="GT30" s="175"/>
      <c r="GU30" s="175"/>
      <c r="GV30" s="175"/>
      <c r="GW30" s="175"/>
      <c r="GX30" s="175"/>
      <c r="GY30" s="175"/>
      <c r="GZ30" s="175"/>
      <c r="HA30" s="175"/>
      <c r="HB30" s="175"/>
      <c r="HC30" s="175"/>
      <c r="HD30" s="175"/>
      <c r="HE30" s="175"/>
      <c r="HF30" s="175"/>
      <c r="HG30" s="175"/>
      <c r="HH30" s="175"/>
      <c r="HI30" s="175"/>
    </row>
    <row r="31" spans="1:217" s="405" customFormat="1">
      <c r="A31" s="1186"/>
      <c r="B31" s="621"/>
      <c r="C31" s="291"/>
      <c r="D31" s="349"/>
      <c r="E31" s="285"/>
      <c r="F31" s="285"/>
      <c r="G31" s="482"/>
      <c r="H31" s="483"/>
      <c r="I31" s="291"/>
      <c r="J31" s="483"/>
      <c r="K31" s="481"/>
      <c r="L31" s="398"/>
      <c r="M31" s="284"/>
      <c r="N31" s="105"/>
      <c r="O31" s="284"/>
      <c r="P31" s="284"/>
      <c r="Q31" s="284"/>
      <c r="R31" s="285"/>
      <c r="S31" s="484"/>
      <c r="T31" s="291"/>
      <c r="U31" s="1022"/>
      <c r="V31" s="291"/>
      <c r="W31" s="291"/>
      <c r="X31" s="1022"/>
      <c r="Y31" s="485"/>
      <c r="Z31" s="290"/>
      <c r="AA31" s="486"/>
      <c r="AB31" s="484"/>
      <c r="AC31" s="291"/>
      <c r="AD31" s="291"/>
      <c r="AE31" s="291"/>
      <c r="AF31" s="1057"/>
      <c r="AG31" s="485"/>
      <c r="AH31" s="1099"/>
      <c r="AI31" s="1002"/>
      <c r="AJ31" s="487"/>
      <c r="AK31" s="585"/>
      <c r="AL31" s="487"/>
      <c r="AM31" s="285"/>
      <c r="AN31" s="906"/>
      <c r="AO31" s="349"/>
      <c r="AP31" s="30"/>
      <c r="AQ31" s="711"/>
      <c r="AR31" s="487"/>
      <c r="AS31" s="488"/>
      <c r="AT31" s="284"/>
      <c r="AU31" s="284"/>
      <c r="AV31" s="285"/>
      <c r="AW31" s="285"/>
      <c r="AX31" s="285"/>
      <c r="AY31" s="349"/>
      <c r="AZ31" s="483"/>
      <c r="BA31" s="489"/>
      <c r="BB31" s="884"/>
      <c r="BC31" s="884"/>
      <c r="BD31" s="884"/>
      <c r="BE31" s="162"/>
      <c r="BF31" s="1119"/>
      <c r="BG31" s="576"/>
      <c r="BH31" s="289"/>
      <c r="BI31" s="583"/>
      <c r="BJ31" s="175"/>
      <c r="BK31" s="175"/>
      <c r="BL31" s="175"/>
      <c r="BM31" s="175"/>
      <c r="BN31" s="175"/>
      <c r="BO31" s="175"/>
      <c r="BP31" s="175"/>
      <c r="BQ31" s="175"/>
      <c r="BR31" s="175"/>
      <c r="BS31" s="175"/>
      <c r="BT31" s="175"/>
      <c r="BU31" s="490"/>
      <c r="BV31" s="490"/>
      <c r="BW31" s="490"/>
      <c r="BX31" s="490"/>
      <c r="BY31" s="490"/>
      <c r="BZ31" s="490"/>
      <c r="CA31" s="490"/>
      <c r="CB31" s="490"/>
      <c r="CC31" s="490"/>
      <c r="CD31" s="490"/>
      <c r="CE31" s="490"/>
      <c r="CF31" s="490"/>
      <c r="CG31" s="490"/>
      <c r="CH31" s="490"/>
      <c r="CI31" s="490"/>
      <c r="CJ31" s="490"/>
      <c r="CK31" s="490"/>
      <c r="CL31" s="490"/>
      <c r="CM31" s="490"/>
      <c r="CN31" s="490"/>
      <c r="CO31" s="490"/>
      <c r="CP31" s="490"/>
      <c r="CQ31" s="490"/>
      <c r="CR31" s="490"/>
      <c r="CS31" s="490"/>
      <c r="CT31" s="490"/>
      <c r="CU31" s="490"/>
      <c r="CV31" s="490"/>
      <c r="CW31" s="490"/>
      <c r="CX31" s="490"/>
      <c r="CY31" s="490"/>
      <c r="CZ31" s="490"/>
      <c r="DA31" s="490"/>
      <c r="DB31" s="490"/>
      <c r="DC31" s="490"/>
      <c r="DD31" s="490"/>
      <c r="DE31" s="490"/>
      <c r="DF31" s="490"/>
      <c r="DG31" s="490"/>
      <c r="DH31" s="490"/>
      <c r="DI31" s="490"/>
      <c r="DJ31" s="490"/>
      <c r="DK31" s="490"/>
      <c r="DL31" s="490"/>
      <c r="DM31" s="490"/>
      <c r="DN31" s="490"/>
      <c r="DO31" s="490"/>
      <c r="DP31" s="490"/>
      <c r="DQ31" s="490"/>
      <c r="DR31" s="490"/>
      <c r="DS31" s="490"/>
      <c r="DT31" s="490"/>
      <c r="DU31" s="490"/>
      <c r="DV31" s="490"/>
      <c r="DW31" s="490"/>
      <c r="DX31" s="490"/>
      <c r="DY31" s="490"/>
      <c r="DZ31" s="490"/>
      <c r="EA31" s="490"/>
      <c r="EB31" s="490"/>
      <c r="EC31" s="490"/>
      <c r="ED31" s="490"/>
      <c r="EE31" s="490"/>
      <c r="EF31" s="490"/>
      <c r="EG31" s="490"/>
      <c r="EH31" s="490"/>
      <c r="EI31" s="490"/>
      <c r="EJ31" s="490"/>
      <c r="EK31" s="490"/>
      <c r="EL31" s="490"/>
      <c r="EM31" s="490"/>
      <c r="EN31" s="490"/>
      <c r="EO31" s="490"/>
      <c r="EP31" s="490"/>
      <c r="EQ31" s="490"/>
      <c r="ER31" s="490"/>
      <c r="ES31" s="490"/>
      <c r="ET31" s="490"/>
      <c r="EU31" s="490"/>
      <c r="EV31" s="490"/>
      <c r="EW31" s="490"/>
      <c r="EX31" s="490"/>
      <c r="EY31" s="490"/>
      <c r="EZ31" s="490"/>
      <c r="FA31" s="490"/>
      <c r="FB31" s="490"/>
      <c r="FC31" s="490"/>
      <c r="FD31" s="490"/>
      <c r="FE31" s="490"/>
      <c r="FF31" s="490"/>
      <c r="FG31" s="490"/>
      <c r="FH31" s="490"/>
      <c r="FI31" s="490"/>
      <c r="FJ31" s="490"/>
      <c r="FK31" s="490"/>
      <c r="FL31" s="490"/>
      <c r="FM31" s="490"/>
      <c r="FN31" s="490"/>
      <c r="FO31" s="490"/>
      <c r="FP31" s="490"/>
      <c r="FQ31" s="490"/>
      <c r="FR31" s="490"/>
      <c r="FS31" s="490"/>
      <c r="FT31" s="490"/>
      <c r="FU31" s="490"/>
      <c r="FV31" s="490"/>
      <c r="FW31" s="490"/>
      <c r="FX31" s="490"/>
      <c r="FY31" s="490"/>
      <c r="FZ31" s="490"/>
      <c r="GA31" s="490"/>
      <c r="GB31" s="490"/>
      <c r="GC31" s="490"/>
      <c r="GD31" s="490"/>
      <c r="GE31" s="490"/>
      <c r="GF31" s="490"/>
      <c r="GG31" s="490"/>
      <c r="GH31" s="490"/>
      <c r="GI31" s="490"/>
      <c r="GJ31" s="490"/>
      <c r="GK31" s="490"/>
      <c r="GL31" s="490"/>
      <c r="GM31" s="490"/>
      <c r="GN31" s="490"/>
      <c r="GO31" s="490"/>
      <c r="GP31" s="490"/>
      <c r="GQ31" s="490"/>
      <c r="GR31" s="490"/>
      <c r="GS31" s="490"/>
      <c r="GT31" s="490"/>
      <c r="GU31" s="490"/>
      <c r="GV31" s="490"/>
      <c r="GW31" s="490"/>
      <c r="GX31" s="490"/>
      <c r="GY31" s="490"/>
      <c r="GZ31" s="490"/>
      <c r="HA31" s="490"/>
      <c r="HB31" s="490"/>
      <c r="HC31" s="490"/>
      <c r="HD31" s="490"/>
      <c r="HE31" s="490"/>
      <c r="HF31" s="490"/>
      <c r="HG31" s="490"/>
      <c r="HH31" s="490"/>
      <c r="HI31" s="490"/>
    </row>
    <row r="32" spans="1:217" s="521" customFormat="1">
      <c r="A32" s="796"/>
      <c r="B32" s="86"/>
      <c r="C32" s="28"/>
      <c r="D32" s="30"/>
      <c r="E32" s="29"/>
      <c r="F32" s="29"/>
      <c r="G32" s="263"/>
      <c r="H32" s="143"/>
      <c r="I32" s="118"/>
      <c r="J32" s="117"/>
      <c r="K32" s="12"/>
      <c r="L32" s="336"/>
      <c r="M32" s="204"/>
      <c r="N32" s="41"/>
      <c r="O32" s="115"/>
      <c r="P32" s="115"/>
      <c r="Q32" s="115"/>
      <c r="R32" s="115"/>
      <c r="S32" s="301"/>
      <c r="T32" s="118"/>
      <c r="U32" s="1020"/>
      <c r="V32" s="120"/>
      <c r="W32" s="121"/>
      <c r="X32" s="1032"/>
      <c r="Y32" s="300"/>
      <c r="Z32" s="119"/>
      <c r="AA32" s="318"/>
      <c r="AB32" s="301"/>
      <c r="AC32" s="118"/>
      <c r="AD32" s="79"/>
      <c r="AE32" s="80"/>
      <c r="AF32" s="1052"/>
      <c r="AG32" s="1041"/>
      <c r="AH32" s="522"/>
      <c r="AI32" s="1001"/>
      <c r="AJ32" s="302"/>
      <c r="AK32" s="584"/>
      <c r="AL32" s="302"/>
      <c r="AM32" s="138"/>
      <c r="AN32" s="904"/>
      <c r="AO32" s="116"/>
      <c r="AP32" s="141"/>
      <c r="AQ32" s="30"/>
      <c r="AR32" s="302"/>
      <c r="AS32" s="307"/>
      <c r="AT32" s="138"/>
      <c r="AU32" s="138"/>
      <c r="AV32" s="29"/>
      <c r="AW32" s="29"/>
      <c r="AX32" s="29"/>
      <c r="AY32" s="41"/>
      <c r="AZ32" s="143"/>
      <c r="BA32" s="188"/>
      <c r="BB32" s="419"/>
      <c r="BC32" s="419"/>
      <c r="BD32" s="419"/>
      <c r="BE32" s="41"/>
      <c r="BF32" s="1117"/>
      <c r="BG32" s="569"/>
      <c r="BH32" s="289"/>
      <c r="BI32" s="583"/>
      <c r="BJ32" s="289"/>
      <c r="BK32" s="289"/>
      <c r="BL32" s="289"/>
      <c r="BM32" s="289"/>
      <c r="BN32" s="289"/>
      <c r="BO32" s="289"/>
      <c r="BP32" s="289"/>
      <c r="BQ32" s="289"/>
      <c r="BR32" s="289"/>
      <c r="BS32" s="289"/>
      <c r="BT32" s="289"/>
      <c r="BU32" s="289"/>
      <c r="BV32" s="289"/>
      <c r="BW32" s="289"/>
      <c r="BX32" s="289"/>
      <c r="BY32" s="289"/>
      <c r="BZ32" s="289"/>
      <c r="CA32" s="289"/>
      <c r="CB32" s="289"/>
      <c r="CC32" s="289"/>
      <c r="CD32" s="289"/>
      <c r="CE32" s="289"/>
      <c r="CF32" s="289"/>
      <c r="CG32" s="289"/>
      <c r="CH32" s="289"/>
      <c r="CI32" s="289"/>
      <c r="CJ32" s="289"/>
      <c r="CK32" s="289"/>
      <c r="CL32" s="289"/>
      <c r="CM32" s="289"/>
      <c r="CN32" s="289"/>
      <c r="CO32" s="289"/>
      <c r="CP32" s="289"/>
      <c r="CQ32" s="289"/>
      <c r="CR32" s="289"/>
      <c r="CS32" s="289"/>
      <c r="CT32" s="289"/>
      <c r="CU32" s="289"/>
      <c r="CV32" s="289"/>
      <c r="CW32" s="289"/>
      <c r="CX32" s="289"/>
      <c r="CY32" s="289"/>
      <c r="CZ32" s="289"/>
      <c r="DA32" s="289"/>
      <c r="DB32" s="289"/>
      <c r="DC32" s="289"/>
      <c r="DD32" s="289"/>
      <c r="DE32" s="289"/>
      <c r="DF32" s="289"/>
      <c r="DG32" s="289"/>
      <c r="DH32" s="289"/>
      <c r="DI32" s="289"/>
      <c r="DJ32" s="289"/>
      <c r="DK32" s="289"/>
      <c r="DL32" s="289"/>
      <c r="DM32" s="289"/>
      <c r="DN32" s="289"/>
      <c r="DO32" s="289"/>
      <c r="DP32" s="289"/>
      <c r="DQ32" s="289"/>
      <c r="DR32" s="289"/>
      <c r="DS32" s="289"/>
      <c r="DT32" s="289"/>
      <c r="DU32" s="289"/>
      <c r="DV32" s="289"/>
      <c r="DW32" s="289"/>
      <c r="DX32" s="289"/>
      <c r="DY32" s="289"/>
      <c r="DZ32" s="289"/>
      <c r="EA32" s="289"/>
      <c r="EB32" s="289"/>
      <c r="EC32" s="289"/>
      <c r="ED32" s="289"/>
      <c r="EE32" s="289"/>
      <c r="EF32" s="289"/>
      <c r="EG32" s="289"/>
      <c r="EH32" s="289"/>
      <c r="EI32" s="289"/>
      <c r="EJ32" s="289"/>
      <c r="EK32" s="289"/>
      <c r="EL32" s="289"/>
      <c r="EM32" s="289"/>
      <c r="EN32" s="289"/>
      <c r="EO32" s="289"/>
      <c r="EP32" s="289"/>
      <c r="EQ32" s="289"/>
      <c r="ER32" s="289"/>
      <c r="ES32" s="289"/>
      <c r="ET32" s="289"/>
      <c r="EU32" s="289"/>
      <c r="EV32" s="289"/>
      <c r="EW32" s="289"/>
      <c r="EX32" s="289"/>
      <c r="EY32" s="289"/>
      <c r="EZ32" s="289"/>
      <c r="FA32" s="289"/>
      <c r="FB32" s="289"/>
      <c r="FC32" s="289"/>
      <c r="FD32" s="289"/>
      <c r="FE32" s="289"/>
      <c r="FF32" s="289"/>
      <c r="FG32" s="289"/>
      <c r="FH32" s="289"/>
      <c r="FI32" s="289"/>
      <c r="FJ32" s="289"/>
      <c r="FK32" s="289"/>
      <c r="FL32" s="289"/>
      <c r="FM32" s="289"/>
      <c r="FN32" s="289"/>
      <c r="FO32" s="289"/>
      <c r="FP32" s="289"/>
      <c r="FQ32" s="289"/>
      <c r="FR32" s="289"/>
      <c r="FS32" s="289"/>
      <c r="FT32" s="289"/>
      <c r="FU32" s="289"/>
      <c r="FV32" s="289"/>
      <c r="FW32" s="289"/>
      <c r="FX32" s="289"/>
      <c r="FY32" s="289"/>
      <c r="FZ32" s="289"/>
      <c r="GA32" s="289"/>
      <c r="GB32" s="289"/>
      <c r="GC32" s="289"/>
      <c r="GD32" s="289"/>
      <c r="GE32" s="289"/>
      <c r="GF32" s="289"/>
      <c r="GG32" s="289"/>
      <c r="GH32" s="289"/>
      <c r="GI32" s="289"/>
      <c r="GJ32" s="289"/>
      <c r="GK32" s="289"/>
      <c r="GL32" s="289"/>
      <c r="GM32" s="289"/>
      <c r="GN32" s="289"/>
      <c r="GO32" s="289"/>
      <c r="GP32" s="289"/>
      <c r="GQ32" s="289"/>
      <c r="GR32" s="289"/>
      <c r="GS32" s="289"/>
      <c r="GT32" s="289"/>
      <c r="GU32" s="289"/>
      <c r="GV32" s="289"/>
      <c r="GW32" s="289"/>
      <c r="GX32" s="289"/>
      <c r="GY32" s="289"/>
      <c r="GZ32" s="289"/>
      <c r="HA32" s="289"/>
      <c r="HB32" s="289"/>
      <c r="HC32" s="289"/>
      <c r="HD32" s="289"/>
      <c r="HE32" s="289"/>
      <c r="HF32" s="289"/>
      <c r="HG32" s="289"/>
      <c r="HH32" s="289"/>
      <c r="HI32" s="289"/>
    </row>
    <row r="33" spans="1:217" s="521" customFormat="1">
      <c r="A33" s="289"/>
      <c r="B33" s="86" t="s">
        <v>162</v>
      </c>
      <c r="C33" s="28"/>
      <c r="D33" s="30"/>
      <c r="E33" s="29" t="s">
        <v>91</v>
      </c>
      <c r="F33" s="29" t="s">
        <v>97</v>
      </c>
      <c r="G33" s="263" t="s">
        <v>122</v>
      </c>
      <c r="H33" s="143" t="s">
        <v>10</v>
      </c>
      <c r="I33" s="32" t="s">
        <v>407</v>
      </c>
      <c r="J33" s="8" t="s">
        <v>174</v>
      </c>
      <c r="K33" s="7" t="s">
        <v>173</v>
      </c>
      <c r="L33" s="333">
        <v>19.190000000000001</v>
      </c>
      <c r="M33" s="38"/>
      <c r="N33" s="30">
        <f>L33+M33</f>
        <v>19.190000000000001</v>
      </c>
      <c r="O33" s="29"/>
      <c r="P33" s="29">
        <f>N33+O33</f>
        <v>19.190000000000001</v>
      </c>
      <c r="Q33" s="29" t="s">
        <v>171</v>
      </c>
      <c r="R33" s="29"/>
      <c r="S33" s="301"/>
      <c r="T33" s="32">
        <v>20</v>
      </c>
      <c r="U33" s="1052">
        <f>T33/'Grondslag bouw &amp; infra'!$B$50</f>
        <v>7.662835249042145E-2</v>
      </c>
      <c r="V33" s="79">
        <v>0</v>
      </c>
      <c r="W33" s="80">
        <v>10</v>
      </c>
      <c r="X33" s="1052">
        <f>(V33+W33)/'Grondslag bouw &amp; infra'!$B$50</f>
        <v>3.8314176245210725E-2</v>
      </c>
      <c r="Y33" s="298"/>
      <c r="Z33" s="35"/>
      <c r="AA33" s="316"/>
      <c r="AB33" s="301"/>
      <c r="AC33" s="32">
        <v>5</v>
      </c>
      <c r="AD33" s="79">
        <v>15</v>
      </c>
      <c r="AE33" s="80">
        <v>0</v>
      </c>
      <c r="AF33" s="1052">
        <f>(AC33+AD33+AE33)/'Grondslag bouw &amp; infra'!$B$50</f>
        <v>7.662835249042145E-2</v>
      </c>
      <c r="AG33" s="1041"/>
      <c r="AH33" s="522"/>
      <c r="AI33" s="1001">
        <v>2.3E-2</v>
      </c>
      <c r="AJ33" s="302"/>
      <c r="AK33" s="584">
        <f>'Grondslag bouw &amp; infra'!C31</f>
        <v>20.66769230769231</v>
      </c>
      <c r="AL33" s="302"/>
      <c r="AM33" s="9">
        <f>$AN$6*AN33</f>
        <v>0</v>
      </c>
      <c r="AN33" s="180"/>
      <c r="AO33" s="34"/>
      <c r="AP33" s="31"/>
      <c r="AQ33" s="30">
        <f>(P33*(AF33+AI33)+P33)</f>
        <v>21.101868084291191</v>
      </c>
      <c r="AR33" s="302"/>
      <c r="AS33" s="43"/>
      <c r="AT33" s="9"/>
      <c r="AU33" s="9"/>
      <c r="AV33" s="29">
        <v>0.68</v>
      </c>
      <c r="AW33" s="29">
        <v>1.1000000000000001</v>
      </c>
      <c r="AX33" s="29">
        <v>0.48</v>
      </c>
      <c r="AY33" s="30">
        <f>SUM(AS33:AX33)</f>
        <v>2.2600000000000002</v>
      </c>
      <c r="AZ33" s="1236">
        <v>0.32</v>
      </c>
      <c r="BA33" s="188"/>
      <c r="BB33" s="419">
        <f>750+25.21</f>
        <v>775.21</v>
      </c>
      <c r="BC33" s="419">
        <f>2793.4/4</f>
        <v>698.35</v>
      </c>
      <c r="BD33" s="419">
        <f>(BB33-(AY33*5))*(1-1%)</f>
        <v>756.2709000000001</v>
      </c>
      <c r="BE33" s="30">
        <f>BD33</f>
        <v>756.2709000000001</v>
      </c>
      <c r="BF33" s="1117">
        <f>BD33</f>
        <v>756.2709000000001</v>
      </c>
      <c r="BG33" s="572"/>
      <c r="BH33" s="289"/>
      <c r="BI33" s="583"/>
      <c r="BJ33" s="289"/>
      <c r="BK33" s="289"/>
      <c r="BL33" s="289"/>
      <c r="BM33" s="289"/>
      <c r="BN33" s="289"/>
      <c r="BO33" s="289"/>
      <c r="BP33" s="289"/>
      <c r="BQ33" s="289"/>
      <c r="BR33" s="289"/>
      <c r="BS33" s="289"/>
      <c r="BT33" s="289"/>
      <c r="BU33" s="289"/>
      <c r="BV33" s="289"/>
      <c r="BW33" s="289"/>
      <c r="BX33" s="289"/>
      <c r="BY33" s="289"/>
      <c r="BZ33" s="289"/>
      <c r="CA33" s="289"/>
      <c r="CB33" s="289"/>
      <c r="CC33" s="289"/>
      <c r="CD33" s="289"/>
      <c r="CE33" s="289"/>
      <c r="CF33" s="289"/>
      <c r="CG33" s="289"/>
      <c r="CH33" s="289"/>
      <c r="CI33" s="289"/>
      <c r="CJ33" s="289"/>
      <c r="CK33" s="289"/>
      <c r="CL33" s="289"/>
      <c r="CM33" s="289"/>
      <c r="CN33" s="289"/>
      <c r="CO33" s="289"/>
      <c r="CP33" s="289"/>
      <c r="CQ33" s="289"/>
      <c r="CR33" s="289"/>
      <c r="CS33" s="289"/>
      <c r="CT33" s="289"/>
      <c r="CU33" s="289"/>
      <c r="CV33" s="289"/>
      <c r="CW33" s="289"/>
      <c r="CX33" s="289"/>
      <c r="CY33" s="289"/>
      <c r="CZ33" s="289"/>
      <c r="DA33" s="289"/>
      <c r="DB33" s="289"/>
      <c r="DC33" s="289"/>
      <c r="DD33" s="289"/>
      <c r="DE33" s="289"/>
      <c r="DF33" s="289"/>
      <c r="DG33" s="289"/>
      <c r="DH33" s="289"/>
      <c r="DI33" s="289"/>
      <c r="DJ33" s="289"/>
      <c r="DK33" s="289"/>
      <c r="DL33" s="289"/>
      <c r="DM33" s="289"/>
      <c r="DN33" s="289"/>
      <c r="DO33" s="289"/>
      <c r="DP33" s="289"/>
      <c r="DQ33" s="289"/>
      <c r="DR33" s="289"/>
      <c r="DS33" s="289"/>
      <c r="DT33" s="289"/>
      <c r="DU33" s="289"/>
      <c r="DV33" s="289"/>
      <c r="DW33" s="289"/>
      <c r="DX33" s="289"/>
      <c r="DY33" s="289"/>
      <c r="DZ33" s="289"/>
      <c r="EA33" s="289"/>
      <c r="EB33" s="289"/>
      <c r="EC33" s="289"/>
      <c r="ED33" s="289"/>
      <c r="EE33" s="289"/>
      <c r="EF33" s="289"/>
      <c r="EG33" s="289"/>
      <c r="EH33" s="289"/>
      <c r="EI33" s="289"/>
      <c r="EJ33" s="289"/>
      <c r="EK33" s="289"/>
      <c r="EL33" s="289"/>
      <c r="EM33" s="289"/>
      <c r="EN33" s="289"/>
      <c r="EO33" s="289"/>
      <c r="EP33" s="289"/>
      <c r="EQ33" s="289"/>
      <c r="ER33" s="289"/>
      <c r="ES33" s="289"/>
      <c r="ET33" s="289"/>
      <c r="EU33" s="289"/>
      <c r="EV33" s="289"/>
      <c r="EW33" s="289"/>
      <c r="EX33" s="289"/>
      <c r="EY33" s="289"/>
      <c r="EZ33" s="289"/>
      <c r="FA33" s="289"/>
      <c r="FB33" s="289"/>
      <c r="FC33" s="289"/>
      <c r="FD33" s="289"/>
      <c r="FE33" s="289"/>
      <c r="FF33" s="289"/>
      <c r="FG33" s="289"/>
      <c r="FH33" s="289"/>
      <c r="FI33" s="289"/>
      <c r="FJ33" s="289"/>
      <c r="FK33" s="289"/>
      <c r="FL33" s="289"/>
      <c r="FM33" s="289"/>
      <c r="FN33" s="289"/>
      <c r="FO33" s="289"/>
      <c r="FP33" s="289"/>
      <c r="FQ33" s="289"/>
      <c r="FR33" s="289"/>
      <c r="FS33" s="289"/>
      <c r="FT33" s="289"/>
      <c r="FU33" s="289"/>
      <c r="FV33" s="289"/>
      <c r="FW33" s="289"/>
      <c r="FX33" s="289"/>
      <c r="FY33" s="289"/>
      <c r="FZ33" s="289"/>
      <c r="GA33" s="289"/>
      <c r="GB33" s="289"/>
      <c r="GC33" s="289"/>
      <c r="GD33" s="289"/>
      <c r="GE33" s="289"/>
      <c r="GF33" s="289"/>
      <c r="GG33" s="289"/>
      <c r="GH33" s="289"/>
      <c r="GI33" s="289"/>
      <c r="GJ33" s="289"/>
      <c r="GK33" s="289"/>
      <c r="GL33" s="289"/>
      <c r="GM33" s="289"/>
      <c r="GN33" s="289"/>
      <c r="GO33" s="289"/>
      <c r="GP33" s="289"/>
      <c r="GQ33" s="289"/>
      <c r="GR33" s="289"/>
      <c r="GS33" s="289"/>
      <c r="GT33" s="289"/>
      <c r="GU33" s="289"/>
      <c r="GV33" s="289"/>
      <c r="GW33" s="289"/>
      <c r="GX33" s="289"/>
      <c r="GY33" s="289"/>
      <c r="GZ33" s="289"/>
      <c r="HA33" s="289"/>
      <c r="HB33" s="289"/>
      <c r="HC33" s="289"/>
      <c r="HD33" s="289"/>
      <c r="HE33" s="289"/>
      <c r="HF33" s="289"/>
      <c r="HG33" s="289"/>
      <c r="HH33" s="289"/>
      <c r="HI33" s="289"/>
    </row>
    <row r="34" spans="1:217" s="289" customFormat="1">
      <c r="B34" s="86"/>
      <c r="C34" s="28"/>
      <c r="D34" s="30"/>
      <c r="E34" s="29"/>
      <c r="F34" s="29"/>
      <c r="G34" s="263"/>
      <c r="H34" s="143"/>
      <c r="I34" s="143"/>
      <c r="J34" s="143"/>
      <c r="K34" s="519"/>
      <c r="L34" s="520"/>
      <c r="M34" s="29"/>
      <c r="N34" s="30"/>
      <c r="O34" s="29"/>
      <c r="P34" s="29"/>
      <c r="Q34" s="168"/>
      <c r="R34" s="29"/>
      <c r="S34" s="76"/>
      <c r="T34" s="28"/>
      <c r="U34" s="1021"/>
      <c r="V34" s="35"/>
      <c r="W34" s="137"/>
      <c r="X34" s="1033"/>
      <c r="Y34" s="374"/>
      <c r="Z34" s="35"/>
      <c r="AA34" s="317"/>
      <c r="AB34" s="76"/>
      <c r="AC34" s="28"/>
      <c r="AD34" s="137"/>
      <c r="AE34" s="137"/>
      <c r="AF34" s="1056"/>
      <c r="AG34" s="113"/>
      <c r="AH34" s="1036"/>
      <c r="AI34" s="1002"/>
      <c r="AJ34" s="523"/>
      <c r="AK34" s="585"/>
      <c r="AL34" s="523"/>
      <c r="AM34" s="29"/>
      <c r="AN34" s="907"/>
      <c r="AO34" s="522"/>
      <c r="AP34" s="33"/>
      <c r="AQ34" s="1036"/>
      <c r="AR34" s="523"/>
      <c r="AS34" s="43"/>
      <c r="AT34" s="29"/>
      <c r="AU34" s="168"/>
      <c r="AV34" s="168"/>
      <c r="AW34" s="168"/>
      <c r="AX34" s="168"/>
      <c r="AY34" s="162"/>
      <c r="AZ34" s="296"/>
      <c r="BA34" s="76"/>
      <c r="BB34" s="882"/>
      <c r="BC34" s="887"/>
      <c r="BD34" s="887"/>
      <c r="BE34" s="29"/>
      <c r="BF34" s="1121"/>
      <c r="BG34" s="568"/>
      <c r="BI34" s="583"/>
    </row>
    <row r="35" spans="1:217" s="150" customFormat="1">
      <c r="A35" s="1269"/>
      <c r="B35" s="85" t="s">
        <v>207</v>
      </c>
      <c r="C35" s="40"/>
      <c r="D35" s="165">
        <f>262.82+141.72+12.29+40+132.47+597.84</f>
        <v>1187.1399999999999</v>
      </c>
      <c r="E35" s="115" t="s">
        <v>145</v>
      </c>
      <c r="F35" s="115" t="s">
        <v>92</v>
      </c>
      <c r="G35" s="264" t="s">
        <v>230</v>
      </c>
      <c r="H35" s="117" t="s">
        <v>11</v>
      </c>
      <c r="I35" s="118" t="s">
        <v>95</v>
      </c>
      <c r="J35" s="117" t="s">
        <v>90</v>
      </c>
      <c r="K35" s="12" t="s">
        <v>112</v>
      </c>
      <c r="L35" s="336">
        <v>18.95</v>
      </c>
      <c r="M35" s="204"/>
      <c r="N35" s="41">
        <f>L35+M35</f>
        <v>18.95</v>
      </c>
      <c r="O35" s="115"/>
      <c r="P35" s="115">
        <f>N35+O35</f>
        <v>18.95</v>
      </c>
      <c r="Q35" s="29"/>
      <c r="R35" s="115"/>
      <c r="S35" s="301"/>
      <c r="T35" s="118">
        <v>25</v>
      </c>
      <c r="U35" s="1052">
        <f>T35/'Grondslag bouw &amp; infra'!$B$50</f>
        <v>9.5785440613026823E-2</v>
      </c>
      <c r="V35" s="120">
        <v>10</v>
      </c>
      <c r="W35" s="80">
        <v>0</v>
      </c>
      <c r="X35" s="1052">
        <f>(V35+W35)/'Grondslag bouw &amp; infra'!$B$50</f>
        <v>3.8314176245210725E-2</v>
      </c>
      <c r="Y35" s="300">
        <v>10</v>
      </c>
      <c r="Z35" s="1082">
        <f>8%*0.45</f>
        <v>3.6000000000000004E-2</v>
      </c>
      <c r="AA35" s="1083">
        <f>(Y35*0.4%)*0.45</f>
        <v>1.8000000000000002E-2</v>
      </c>
      <c r="AB35" s="301"/>
      <c r="AC35" s="118">
        <v>0</v>
      </c>
      <c r="AD35" s="79">
        <v>0</v>
      </c>
      <c r="AE35" s="80">
        <v>0</v>
      </c>
      <c r="AF35" s="1052">
        <f>(AC35+AD35+AE35)/'Grondslag bouw &amp; infra'!$B$50</f>
        <v>0</v>
      </c>
      <c r="AG35" s="1041"/>
      <c r="AH35" s="522"/>
      <c r="AI35" s="1001">
        <v>3.6499999999999998E-2</v>
      </c>
      <c r="AJ35" s="302"/>
      <c r="AK35" s="1008"/>
      <c r="AL35" s="302"/>
      <c r="AM35" s="138">
        <f>$AN$6*AN35</f>
        <v>0</v>
      </c>
      <c r="AN35" s="904"/>
      <c r="AO35" s="116"/>
      <c r="AP35" s="141"/>
      <c r="AQ35" s="30">
        <f>(P35*(AF35+AI35)+P35)</f>
        <v>19.641674999999999</v>
      </c>
      <c r="AR35" s="302"/>
      <c r="AS35" s="307"/>
      <c r="AT35" s="115"/>
      <c r="AU35" s="29"/>
      <c r="AV35" s="29">
        <v>0.68</v>
      </c>
      <c r="AW35" s="29">
        <v>1.1000000000000001</v>
      </c>
      <c r="AX35" s="29">
        <v>0.48</v>
      </c>
      <c r="AY35" s="30">
        <f>SUM(AS35:AX35)</f>
        <v>2.2600000000000002</v>
      </c>
      <c r="AZ35" s="29">
        <v>0.32</v>
      </c>
      <c r="BA35" s="303"/>
      <c r="BB35" s="881">
        <f>BC35</f>
        <v>633.35500000000002</v>
      </c>
      <c r="BC35" s="419">
        <f>2533.42/4</f>
        <v>633.35500000000002</v>
      </c>
      <c r="BD35" s="419">
        <f>(BB35-(AY35*5))*(1-1%)</f>
        <v>615.83445000000006</v>
      </c>
      <c r="BE35" s="41">
        <f>BD35</f>
        <v>615.83445000000006</v>
      </c>
      <c r="BF35" s="1117">
        <f>BD35</f>
        <v>615.83445000000006</v>
      </c>
      <c r="BG35" s="569" t="s">
        <v>94</v>
      </c>
      <c r="BH35" s="289"/>
      <c r="BI35" s="586"/>
      <c r="BJ35" s="149"/>
      <c r="BK35" s="149"/>
      <c r="BL35" s="149"/>
      <c r="BM35" s="149"/>
      <c r="BN35" s="149"/>
      <c r="BO35" s="149"/>
      <c r="BP35" s="149"/>
      <c r="BQ35" s="149"/>
      <c r="BR35" s="149"/>
      <c r="BS35" s="149"/>
      <c r="BT35" s="149"/>
      <c r="BU35" s="149"/>
      <c r="BV35" s="149"/>
      <c r="BW35" s="149"/>
      <c r="BX35" s="149"/>
      <c r="BY35" s="149"/>
      <c r="BZ35" s="149"/>
      <c r="CA35" s="149"/>
      <c r="CB35" s="149"/>
      <c r="CC35" s="149"/>
      <c r="CD35" s="149"/>
      <c r="CE35" s="149"/>
      <c r="CF35" s="149"/>
      <c r="CG35" s="149"/>
      <c r="CH35" s="149"/>
      <c r="CI35" s="149"/>
      <c r="CJ35" s="149"/>
      <c r="CK35" s="149"/>
      <c r="CL35" s="149"/>
      <c r="CM35" s="149"/>
      <c r="CN35" s="149"/>
      <c r="CO35" s="149"/>
      <c r="CP35" s="149"/>
      <c r="CQ35" s="149"/>
      <c r="CR35" s="149"/>
      <c r="CS35" s="149"/>
      <c r="CT35" s="149"/>
      <c r="CU35" s="149"/>
      <c r="CV35" s="149"/>
      <c r="CW35" s="149"/>
      <c r="CX35" s="149"/>
      <c r="CY35" s="149"/>
      <c r="CZ35" s="149"/>
      <c r="DA35" s="149"/>
      <c r="DB35" s="149"/>
      <c r="DC35" s="149"/>
      <c r="DD35" s="149"/>
      <c r="DE35" s="149"/>
      <c r="DF35" s="149"/>
      <c r="DG35" s="149"/>
      <c r="DH35" s="149"/>
      <c r="DI35" s="149"/>
      <c r="DJ35" s="149"/>
      <c r="DK35" s="149"/>
      <c r="DL35" s="149"/>
      <c r="DM35" s="149"/>
      <c r="DN35" s="149"/>
      <c r="DO35" s="149"/>
      <c r="DP35" s="149"/>
      <c r="DQ35" s="149"/>
      <c r="DR35" s="149"/>
      <c r="DS35" s="149"/>
      <c r="DT35" s="149"/>
      <c r="DU35" s="149"/>
      <c r="DV35" s="149"/>
      <c r="DW35" s="149"/>
      <c r="DX35" s="149"/>
      <c r="DY35" s="149"/>
      <c r="DZ35" s="149"/>
      <c r="EA35" s="149"/>
      <c r="EB35" s="149"/>
      <c r="EC35" s="149"/>
      <c r="ED35" s="149"/>
      <c r="EE35" s="149"/>
      <c r="EF35" s="149"/>
      <c r="EG35" s="149"/>
      <c r="EH35" s="149"/>
      <c r="EI35" s="149"/>
      <c r="EJ35" s="149"/>
      <c r="EK35" s="149"/>
      <c r="EL35" s="149"/>
      <c r="EM35" s="149"/>
      <c r="EN35" s="149"/>
      <c r="EO35" s="149"/>
      <c r="EP35" s="149"/>
      <c r="EQ35" s="149"/>
      <c r="ER35" s="149"/>
      <c r="ES35" s="149"/>
      <c r="ET35" s="149"/>
      <c r="EU35" s="149"/>
      <c r="EV35" s="149"/>
      <c r="EW35" s="149"/>
      <c r="EX35" s="149"/>
      <c r="EY35" s="149"/>
      <c r="EZ35" s="149"/>
      <c r="FA35" s="149"/>
      <c r="FB35" s="149"/>
      <c r="FC35" s="149"/>
      <c r="FD35" s="149"/>
      <c r="FE35" s="149"/>
      <c r="FF35" s="149"/>
      <c r="FG35" s="149"/>
      <c r="FH35" s="149"/>
      <c r="FI35" s="149"/>
      <c r="FJ35" s="149"/>
      <c r="FK35" s="149"/>
      <c r="FL35" s="149"/>
      <c r="FM35" s="149"/>
      <c r="FN35" s="149"/>
      <c r="FO35" s="149"/>
      <c r="FP35" s="149"/>
      <c r="FQ35" s="149"/>
      <c r="FR35" s="149"/>
      <c r="FS35" s="149"/>
      <c r="FT35" s="149"/>
      <c r="FU35" s="149"/>
      <c r="FV35" s="149"/>
      <c r="FW35" s="149"/>
      <c r="FX35" s="149"/>
      <c r="FY35" s="149"/>
      <c r="FZ35" s="149"/>
      <c r="GA35" s="149"/>
      <c r="GB35" s="149"/>
      <c r="GC35" s="149"/>
      <c r="GD35" s="149"/>
      <c r="GE35" s="149"/>
      <c r="GF35" s="149"/>
      <c r="GG35" s="149"/>
      <c r="GH35" s="149"/>
      <c r="GI35" s="149"/>
      <c r="GJ35" s="149"/>
      <c r="GK35" s="149"/>
      <c r="GL35" s="149"/>
      <c r="GM35" s="149"/>
      <c r="GN35" s="149"/>
      <c r="GO35" s="149"/>
      <c r="GP35" s="149"/>
      <c r="GQ35" s="149"/>
      <c r="GR35" s="149"/>
      <c r="GS35" s="149"/>
      <c r="GT35" s="149"/>
      <c r="GU35" s="149"/>
      <c r="GV35" s="149"/>
      <c r="GW35" s="149"/>
      <c r="GX35" s="149"/>
      <c r="GY35" s="149"/>
      <c r="GZ35" s="149"/>
      <c r="HA35" s="149"/>
      <c r="HB35" s="149"/>
      <c r="HC35" s="149"/>
      <c r="HD35" s="149"/>
      <c r="HE35" s="149"/>
      <c r="HF35" s="149"/>
      <c r="HG35" s="149"/>
      <c r="HH35" s="149"/>
      <c r="HI35" s="149"/>
    </row>
    <row r="36" spans="1:217" s="642" customFormat="1">
      <c r="A36" s="289"/>
      <c r="B36" s="627"/>
      <c r="C36" s="628"/>
      <c r="D36" s="629"/>
      <c r="E36" s="9"/>
      <c r="F36" s="630"/>
      <c r="G36" s="631"/>
      <c r="H36" s="632"/>
      <c r="I36" s="628"/>
      <c r="J36" s="632"/>
      <c r="K36" s="626"/>
      <c r="L36" s="633"/>
      <c r="M36" s="630"/>
      <c r="N36" s="629"/>
      <c r="O36" s="630"/>
      <c r="P36" s="630"/>
      <c r="Q36" s="630"/>
      <c r="R36" s="630"/>
      <c r="S36" s="634"/>
      <c r="T36" s="628"/>
      <c r="U36" s="1023"/>
      <c r="V36" s="628"/>
      <c r="W36" s="628"/>
      <c r="X36" s="1023"/>
      <c r="Y36" s="636"/>
      <c r="Z36" s="628"/>
      <c r="AA36" s="637"/>
      <c r="AB36" s="634"/>
      <c r="AC36" s="628"/>
      <c r="AD36" s="628"/>
      <c r="AE36" s="628"/>
      <c r="AF36" s="1058"/>
      <c r="AG36" s="636"/>
      <c r="AH36" s="1100"/>
      <c r="AI36" s="1001"/>
      <c r="AJ36" s="638"/>
      <c r="AK36" s="630"/>
      <c r="AL36" s="638"/>
      <c r="AM36" s="630"/>
      <c r="AN36" s="908"/>
      <c r="AO36" s="629"/>
      <c r="AP36" s="635"/>
      <c r="AQ36" s="712"/>
      <c r="AR36" s="640"/>
      <c r="AS36" s="630"/>
      <c r="AT36" s="630"/>
      <c r="AU36" s="630"/>
      <c r="AV36" s="630"/>
      <c r="AW36" s="630"/>
      <c r="AX36" s="630"/>
      <c r="AY36" s="629"/>
      <c r="AZ36" s="639"/>
      <c r="BA36" s="641"/>
      <c r="BB36" s="419"/>
      <c r="BC36" s="419"/>
      <c r="BD36" s="419"/>
      <c r="BE36" s="30"/>
      <c r="BF36" s="1117"/>
      <c r="BG36" s="677"/>
      <c r="BI36" s="643"/>
    </row>
    <row r="37" spans="1:217" s="175" customFormat="1">
      <c r="A37" s="289"/>
      <c r="B37" s="619"/>
      <c r="C37" s="152"/>
      <c r="D37" s="153"/>
      <c r="E37" s="168"/>
      <c r="F37" s="147"/>
      <c r="G37" s="309"/>
      <c r="H37" s="151"/>
      <c r="I37" s="151"/>
      <c r="J37" s="151"/>
      <c r="K37" s="602"/>
      <c r="L37" s="335"/>
      <c r="M37" s="218"/>
      <c r="N37" s="162"/>
      <c r="O37" s="154"/>
      <c r="P37" s="154"/>
      <c r="Q37" s="154"/>
      <c r="R37" s="154"/>
      <c r="S37" s="176"/>
      <c r="T37" s="152"/>
      <c r="U37" s="1018"/>
      <c r="V37" s="152"/>
      <c r="W37" s="152"/>
      <c r="X37" s="1018"/>
      <c r="Y37" s="299"/>
      <c r="Z37" s="274"/>
      <c r="AA37" s="317"/>
      <c r="AB37" s="176"/>
      <c r="AC37" s="152"/>
      <c r="AD37" s="152"/>
      <c r="AE37" s="152"/>
      <c r="AF37" s="1054"/>
      <c r="AG37" s="369"/>
      <c r="AH37" s="1097"/>
      <c r="AI37" s="1002"/>
      <c r="AJ37" s="177"/>
      <c r="AK37" s="585"/>
      <c r="AL37" s="177"/>
      <c r="AM37" s="154"/>
      <c r="AN37" s="903"/>
      <c r="AO37" s="153"/>
      <c r="AP37" s="156"/>
      <c r="AQ37" s="708"/>
      <c r="AR37" s="177"/>
      <c r="AS37" s="308"/>
      <c r="AT37" s="178"/>
      <c r="AU37" s="178"/>
      <c r="AV37" s="178"/>
      <c r="AW37" s="178"/>
      <c r="AX37" s="178"/>
      <c r="AY37" s="323"/>
      <c r="AZ37" s="151"/>
      <c r="BA37" s="176"/>
      <c r="BB37" s="884"/>
      <c r="BC37" s="884"/>
      <c r="BD37" s="884"/>
      <c r="BE37" s="162"/>
      <c r="BF37" s="1119"/>
      <c r="BG37" s="570"/>
      <c r="BH37" s="289"/>
      <c r="BI37" s="583"/>
    </row>
    <row r="38" spans="1:217" s="377" customFormat="1">
      <c r="A38" s="797"/>
      <c r="B38" s="85"/>
      <c r="C38" s="40"/>
      <c r="D38" s="165"/>
      <c r="E38" s="115"/>
      <c r="F38" s="115"/>
      <c r="G38" s="264"/>
      <c r="H38" s="117"/>
      <c r="I38" s="118"/>
      <c r="J38" s="117"/>
      <c r="K38" s="12"/>
      <c r="L38" s="336"/>
      <c r="M38" s="204"/>
      <c r="N38" s="41"/>
      <c r="O38" s="115"/>
      <c r="P38" s="115"/>
      <c r="Q38" s="29"/>
      <c r="R38" s="115"/>
      <c r="S38" s="301"/>
      <c r="T38" s="118"/>
      <c r="U38" s="1020"/>
      <c r="V38" s="120"/>
      <c r="W38" s="80"/>
      <c r="X38" s="1016"/>
      <c r="Y38" s="300"/>
      <c r="Z38" s="119"/>
      <c r="AA38" s="316"/>
      <c r="AB38" s="301"/>
      <c r="AC38" s="118"/>
      <c r="AD38" s="79"/>
      <c r="AE38" s="80"/>
      <c r="AF38" s="1052"/>
      <c r="AG38" s="1041"/>
      <c r="AH38" s="522"/>
      <c r="AI38" s="1001"/>
      <c r="AJ38" s="302"/>
      <c r="AK38" s="584"/>
      <c r="AL38" s="302"/>
      <c r="AM38" s="138"/>
      <c r="AN38" s="904"/>
      <c r="AO38" s="116"/>
      <c r="AP38" s="141"/>
      <c r="AQ38" s="707"/>
      <c r="AR38" s="302"/>
      <c r="AS38" s="307"/>
      <c r="AT38" s="115"/>
      <c r="AU38" s="29"/>
      <c r="AV38" s="29"/>
      <c r="AW38" s="29"/>
      <c r="AX38" s="29"/>
      <c r="AY38" s="30"/>
      <c r="AZ38" s="143"/>
      <c r="BA38" s="303"/>
      <c r="BB38" s="881"/>
      <c r="BC38" s="419"/>
      <c r="BD38" s="881"/>
      <c r="BE38" s="41"/>
      <c r="BF38" s="1120"/>
      <c r="BG38" s="569"/>
      <c r="BH38" s="289"/>
      <c r="BI38" s="586"/>
      <c r="BJ38" s="149"/>
      <c r="BK38" s="149"/>
      <c r="BL38" s="149"/>
      <c r="BM38" s="149"/>
      <c r="BN38" s="149"/>
      <c r="BO38" s="149"/>
      <c r="BP38" s="149"/>
      <c r="BQ38" s="149"/>
      <c r="BR38" s="149"/>
      <c r="BS38" s="149"/>
      <c r="BT38" s="149"/>
      <c r="BU38" s="149"/>
      <c r="BV38" s="149"/>
      <c r="BW38" s="149"/>
      <c r="BX38" s="149"/>
      <c r="BY38" s="149"/>
      <c r="BZ38" s="149"/>
      <c r="CA38" s="149"/>
      <c r="CB38" s="149"/>
      <c r="CC38" s="149"/>
      <c r="CD38" s="149"/>
      <c r="CE38" s="149"/>
      <c r="CF38" s="149"/>
      <c r="CG38" s="149"/>
      <c r="CH38" s="149"/>
      <c r="CI38" s="149"/>
      <c r="CJ38" s="149"/>
      <c r="CK38" s="149"/>
      <c r="CL38" s="149"/>
      <c r="CM38" s="149"/>
      <c r="CN38" s="149"/>
      <c r="CO38" s="149"/>
      <c r="CP38" s="149"/>
      <c r="CQ38" s="149"/>
      <c r="CR38" s="149"/>
      <c r="CS38" s="149"/>
      <c r="CT38" s="149"/>
      <c r="CU38" s="149"/>
      <c r="CV38" s="149"/>
      <c r="CW38" s="149"/>
      <c r="CX38" s="149"/>
      <c r="CY38" s="149"/>
      <c r="CZ38" s="149"/>
      <c r="DA38" s="149"/>
      <c r="DB38" s="149"/>
      <c r="DC38" s="149"/>
      <c r="DD38" s="149"/>
      <c r="DE38" s="149"/>
      <c r="DF38" s="149"/>
      <c r="DG38" s="149"/>
      <c r="DH38" s="149"/>
      <c r="DI38" s="149"/>
      <c r="DJ38" s="149"/>
      <c r="DK38" s="149"/>
      <c r="DL38" s="149"/>
      <c r="DM38" s="149"/>
      <c r="DN38" s="149"/>
      <c r="DO38" s="149"/>
      <c r="DP38" s="149"/>
      <c r="DQ38" s="149"/>
      <c r="DR38" s="149"/>
      <c r="DS38" s="149"/>
      <c r="DT38" s="149"/>
      <c r="DU38" s="149"/>
      <c r="DV38" s="149"/>
      <c r="DW38" s="149"/>
      <c r="DX38" s="149"/>
      <c r="DY38" s="149"/>
      <c r="DZ38" s="149"/>
      <c r="EA38" s="149"/>
      <c r="EB38" s="149"/>
      <c r="EC38" s="149"/>
      <c r="ED38" s="149"/>
      <c r="EE38" s="149"/>
      <c r="EF38" s="149"/>
      <c r="EG38" s="149"/>
      <c r="EH38" s="149"/>
      <c r="EI38" s="149"/>
      <c r="EJ38" s="149"/>
      <c r="EK38" s="149"/>
      <c r="EL38" s="149"/>
      <c r="EM38" s="149"/>
      <c r="EN38" s="149"/>
      <c r="EO38" s="149"/>
      <c r="EP38" s="149"/>
      <c r="EQ38" s="149"/>
      <c r="ER38" s="149"/>
      <c r="ES38" s="149"/>
      <c r="ET38" s="149"/>
      <c r="EU38" s="149"/>
      <c r="EV38" s="149"/>
      <c r="EW38" s="149"/>
      <c r="EX38" s="149"/>
      <c r="EY38" s="149"/>
      <c r="EZ38" s="149"/>
      <c r="FA38" s="149"/>
      <c r="FB38" s="149"/>
      <c r="FC38" s="149"/>
      <c r="FD38" s="149"/>
      <c r="FE38" s="149"/>
      <c r="FF38" s="149"/>
      <c r="FG38" s="149"/>
      <c r="FH38" s="149"/>
      <c r="FI38" s="149"/>
      <c r="FJ38" s="149"/>
      <c r="FK38" s="149"/>
      <c r="FL38" s="149"/>
      <c r="FM38" s="149"/>
      <c r="FN38" s="149"/>
      <c r="FO38" s="149"/>
      <c r="FP38" s="149"/>
      <c r="FQ38" s="149"/>
      <c r="FR38" s="149"/>
      <c r="FS38" s="149"/>
      <c r="FT38" s="149"/>
      <c r="FU38" s="149"/>
      <c r="FV38" s="149"/>
      <c r="FW38" s="149"/>
      <c r="FX38" s="149"/>
      <c r="FY38" s="149"/>
      <c r="FZ38" s="149"/>
      <c r="GA38" s="149"/>
      <c r="GB38" s="149"/>
      <c r="GC38" s="149"/>
      <c r="GD38" s="149"/>
      <c r="GE38" s="149"/>
      <c r="GF38" s="149"/>
      <c r="GG38" s="149"/>
      <c r="GH38" s="149"/>
      <c r="GI38" s="149"/>
      <c r="GJ38" s="149"/>
      <c r="GK38" s="149"/>
      <c r="GL38" s="149"/>
      <c r="GM38" s="149"/>
      <c r="GN38" s="149"/>
      <c r="GO38" s="149"/>
      <c r="GP38" s="149"/>
      <c r="GQ38" s="149"/>
      <c r="GR38" s="149"/>
      <c r="GS38" s="149"/>
      <c r="GT38" s="149"/>
      <c r="GU38" s="149"/>
      <c r="GV38" s="149"/>
      <c r="GW38" s="149"/>
      <c r="GX38" s="149"/>
      <c r="GY38" s="149"/>
      <c r="GZ38" s="149"/>
      <c r="HA38" s="149"/>
      <c r="HB38" s="149"/>
      <c r="HC38" s="149"/>
      <c r="HD38" s="149"/>
      <c r="HE38" s="149"/>
      <c r="HF38" s="149"/>
      <c r="HG38" s="149"/>
      <c r="HH38" s="149"/>
      <c r="HI38" s="149"/>
    </row>
    <row r="39" spans="1:217" s="862" customFormat="1">
      <c r="A39" s="289"/>
      <c r="B39" s="86" t="s">
        <v>141</v>
      </c>
      <c r="C39" s="28"/>
      <c r="D39" s="863">
        <f>274.46+100-33.16-194.32-139.89-110-49-44.45-770.58+838.07-55.5+362.08+110.7-470.25+506.46</f>
        <v>324.61999999999995</v>
      </c>
      <c r="E39" s="29" t="s">
        <v>91</v>
      </c>
      <c r="F39" s="29" t="s">
        <v>97</v>
      </c>
      <c r="G39" s="263" t="s">
        <v>122</v>
      </c>
      <c r="H39" s="143" t="s">
        <v>10</v>
      </c>
      <c r="I39" s="28" t="s">
        <v>364</v>
      </c>
      <c r="J39" s="143" t="s">
        <v>507</v>
      </c>
      <c r="K39" s="519" t="s">
        <v>128</v>
      </c>
      <c r="L39" s="333">
        <v>15.77</v>
      </c>
      <c r="M39" s="29">
        <v>2.4500000000000002</v>
      </c>
      <c r="N39" s="30">
        <f>L39+M39</f>
        <v>18.22</v>
      </c>
      <c r="O39" s="29"/>
      <c r="P39" s="29">
        <f>N39+O39</f>
        <v>18.22</v>
      </c>
      <c r="Q39" s="864"/>
      <c r="R39" s="864"/>
      <c r="S39" s="865"/>
      <c r="T39" s="32">
        <v>20</v>
      </c>
      <c r="U39" s="1052">
        <f>T39/'Grondslag bouw &amp; infra'!$B$50</f>
        <v>7.662835249042145E-2</v>
      </c>
      <c r="V39" s="79">
        <v>15</v>
      </c>
      <c r="W39" s="80">
        <v>7</v>
      </c>
      <c r="X39" s="1052">
        <f>(V39+W39)/'Grondslag bouw &amp; infra'!$B$50</f>
        <v>8.4291187739463605E-2</v>
      </c>
      <c r="Y39" s="868"/>
      <c r="Z39" s="867"/>
      <c r="AA39" s="869"/>
      <c r="AB39" s="865"/>
      <c r="AC39" s="32">
        <v>5</v>
      </c>
      <c r="AD39" s="79">
        <v>0</v>
      </c>
      <c r="AE39" s="80">
        <v>0</v>
      </c>
      <c r="AF39" s="1052">
        <f>(AC39+AD39+AE39)/'Grondslag bouw &amp; infra'!$B$50</f>
        <v>1.9157088122605363E-2</v>
      </c>
      <c r="AG39" s="1041"/>
      <c r="AH39" s="522"/>
      <c r="AI39" s="1001">
        <v>2.3E-2</v>
      </c>
      <c r="AJ39" s="870"/>
      <c r="AK39" s="584">
        <f>'Grondslag bouw &amp; infra'!C31</f>
        <v>20.66769230769231</v>
      </c>
      <c r="AL39" s="870"/>
      <c r="AM39" s="29">
        <f>$AN$6*AN39</f>
        <v>0</v>
      </c>
      <c r="AN39" s="909"/>
      <c r="AO39" s="863"/>
      <c r="AP39" s="866"/>
      <c r="AQ39" s="30">
        <f>(P39*(AF39+AI39)+P39)</f>
        <v>18.988102145593867</v>
      </c>
      <c r="AR39" s="870"/>
      <c r="AS39" s="864"/>
      <c r="AT39" s="864"/>
      <c r="AU39" s="864"/>
      <c r="AV39" s="9">
        <v>0.68</v>
      </c>
      <c r="AW39" s="29">
        <v>1.1000000000000001</v>
      </c>
      <c r="AX39" s="29">
        <v>0.48</v>
      </c>
      <c r="AY39" s="30">
        <f>SUM(AS39:AX39)</f>
        <v>2.2600000000000002</v>
      </c>
      <c r="AZ39" s="143" t="s">
        <v>177</v>
      </c>
      <c r="BA39" s="871"/>
      <c r="BB39" s="419">
        <f>615+2.1+8.54+5.25+7.12+68.1</f>
        <v>706.11</v>
      </c>
      <c r="BC39" s="419">
        <f>2466.24/4</f>
        <v>616.55999999999995</v>
      </c>
      <c r="BD39" s="419">
        <f>(BB39-(AY39*5))*(1-1%)</f>
        <v>687.86190000000011</v>
      </c>
      <c r="BE39" s="30">
        <f>BD39</f>
        <v>687.86190000000011</v>
      </c>
      <c r="BF39" s="1117">
        <f>BD39</f>
        <v>687.86190000000011</v>
      </c>
      <c r="BG39" s="572" t="s">
        <v>410</v>
      </c>
      <c r="BI39" s="872"/>
    </row>
    <row r="40" spans="1:217">
      <c r="B40" s="619"/>
      <c r="C40" s="137"/>
      <c r="D40" s="163"/>
      <c r="E40" s="168"/>
      <c r="F40" s="168"/>
      <c r="G40" s="265"/>
      <c r="H40" s="296"/>
      <c r="I40" s="169"/>
      <c r="J40" s="296"/>
      <c r="K40" s="210"/>
      <c r="L40" s="335"/>
      <c r="M40" s="218"/>
      <c r="N40" s="162"/>
      <c r="O40" s="168"/>
      <c r="P40" s="168"/>
      <c r="Q40" s="160"/>
      <c r="R40" s="168"/>
      <c r="S40" s="211"/>
      <c r="T40" s="169"/>
      <c r="U40" s="1021"/>
      <c r="V40" s="170"/>
      <c r="W40" s="171"/>
      <c r="X40" s="1021"/>
      <c r="Y40" s="299"/>
      <c r="Z40" s="274"/>
      <c r="AA40" s="317"/>
      <c r="AB40" s="213"/>
      <c r="AC40" s="169"/>
      <c r="AD40" s="170"/>
      <c r="AE40" s="171"/>
      <c r="AF40" s="1056"/>
      <c r="AG40" s="1043"/>
      <c r="AH40" s="1036"/>
      <c r="AI40" s="1002"/>
      <c r="AJ40" s="217"/>
      <c r="AK40" s="585"/>
      <c r="AL40" s="217"/>
      <c r="AM40" s="160"/>
      <c r="AN40" s="910"/>
      <c r="AO40" s="167"/>
      <c r="AP40" s="214"/>
      <c r="AQ40" s="713"/>
      <c r="AR40" s="217"/>
      <c r="AS40" s="504"/>
      <c r="AT40" s="417"/>
      <c r="AU40" s="417"/>
      <c r="AV40" s="417"/>
      <c r="AW40" s="417"/>
      <c r="AX40" s="417"/>
      <c r="AY40" s="505"/>
      <c r="AZ40" s="296"/>
      <c r="BA40" s="213"/>
      <c r="BB40" s="884"/>
      <c r="BC40" s="884"/>
      <c r="BD40" s="884"/>
      <c r="BE40" s="162"/>
      <c r="BF40" s="1119"/>
      <c r="BG40" s="572"/>
      <c r="BH40" s="289"/>
    </row>
    <row r="41" spans="1:217" s="150" customFormat="1">
      <c r="A41" s="796"/>
      <c r="B41" s="86"/>
      <c r="C41" s="28"/>
      <c r="D41" s="337"/>
      <c r="E41" s="29"/>
      <c r="F41" s="29"/>
      <c r="G41" s="263"/>
      <c r="H41" s="8"/>
      <c r="I41" s="32"/>
      <c r="J41" s="8"/>
      <c r="K41" s="7"/>
      <c r="L41" s="333"/>
      <c r="M41" s="38"/>
      <c r="N41" s="30"/>
      <c r="O41" s="29"/>
      <c r="P41" s="29"/>
      <c r="Q41" s="29"/>
      <c r="R41" s="29"/>
      <c r="S41" s="211"/>
      <c r="T41" s="32"/>
      <c r="U41" s="1016"/>
      <c r="V41" s="79"/>
      <c r="W41" s="80"/>
      <c r="X41" s="1016"/>
      <c r="Y41" s="298"/>
      <c r="Z41" s="119"/>
      <c r="AA41" s="316"/>
      <c r="AB41" s="211"/>
      <c r="AC41" s="32"/>
      <c r="AD41" s="79"/>
      <c r="AE41" s="80"/>
      <c r="AF41" s="1052"/>
      <c r="AG41" s="1041"/>
      <c r="AH41" s="522"/>
      <c r="AI41" s="1001"/>
      <c r="AJ41" s="211"/>
      <c r="AK41" s="584"/>
      <c r="AL41" s="211"/>
      <c r="AM41" s="9"/>
      <c r="AN41" s="180"/>
      <c r="AO41" s="34"/>
      <c r="AP41" s="31"/>
      <c r="AQ41" s="706"/>
      <c r="AR41" s="211"/>
      <c r="AS41" s="43"/>
      <c r="AT41" s="29"/>
      <c r="AU41" s="29"/>
      <c r="AV41" s="29"/>
      <c r="AW41" s="29"/>
      <c r="AX41" s="29"/>
      <c r="AY41" s="30"/>
      <c r="AZ41" s="143"/>
      <c r="BA41" s="211"/>
      <c r="BB41" s="419"/>
      <c r="BC41" s="419"/>
      <c r="BD41" s="419"/>
      <c r="BE41" s="41"/>
      <c r="BF41" s="1118"/>
      <c r="BG41" s="569"/>
      <c r="BH41" s="289"/>
      <c r="BI41" s="583"/>
      <c r="BJ41" s="149"/>
      <c r="BK41" s="149"/>
      <c r="BL41" s="149"/>
      <c r="BM41" s="149"/>
      <c r="BN41" s="149"/>
      <c r="BO41" s="149"/>
      <c r="BP41" s="149"/>
      <c r="BQ41" s="149"/>
      <c r="BR41" s="149"/>
      <c r="BS41" s="149"/>
      <c r="BT41" s="149"/>
      <c r="BU41" s="149"/>
      <c r="BV41" s="149"/>
      <c r="BW41" s="149"/>
      <c r="BX41" s="149"/>
      <c r="BY41" s="149"/>
      <c r="BZ41" s="149"/>
      <c r="CA41" s="149"/>
      <c r="CB41" s="149"/>
      <c r="CC41" s="149"/>
      <c r="CD41" s="149"/>
      <c r="CE41" s="149"/>
      <c r="CF41" s="149"/>
      <c r="CG41" s="149"/>
      <c r="CH41" s="149"/>
      <c r="CI41" s="149"/>
      <c r="CJ41" s="149"/>
      <c r="CK41" s="149"/>
      <c r="CL41" s="149"/>
      <c r="CM41" s="149"/>
      <c r="CN41" s="149"/>
      <c r="CO41" s="149"/>
      <c r="CP41" s="149"/>
      <c r="CQ41" s="149"/>
      <c r="CR41" s="149"/>
      <c r="CS41" s="149"/>
      <c r="CT41" s="149"/>
      <c r="CU41" s="149"/>
      <c r="CV41" s="149"/>
      <c r="CW41" s="149"/>
      <c r="CX41" s="149"/>
      <c r="CY41" s="149"/>
      <c r="CZ41" s="149"/>
      <c r="DA41" s="149"/>
      <c r="DB41" s="149"/>
      <c r="DC41" s="149"/>
      <c r="DD41" s="149"/>
      <c r="DE41" s="149"/>
      <c r="DF41" s="149"/>
      <c r="DG41" s="149"/>
      <c r="DH41" s="149"/>
      <c r="DI41" s="149"/>
      <c r="DJ41" s="149"/>
      <c r="DK41" s="149"/>
      <c r="DL41" s="149"/>
      <c r="DM41" s="149"/>
      <c r="DN41" s="149"/>
      <c r="DO41" s="149"/>
      <c r="DP41" s="149"/>
      <c r="DQ41" s="149"/>
      <c r="DR41" s="149"/>
      <c r="DS41" s="149"/>
      <c r="DT41" s="149"/>
      <c r="DU41" s="149"/>
      <c r="DV41" s="149"/>
      <c r="DW41" s="149"/>
      <c r="DX41" s="149"/>
      <c r="DY41" s="149"/>
      <c r="DZ41" s="149"/>
      <c r="EA41" s="149"/>
      <c r="EB41" s="149"/>
      <c r="EC41" s="149"/>
      <c r="ED41" s="149"/>
      <c r="EE41" s="149"/>
      <c r="EF41" s="149"/>
      <c r="EG41" s="149"/>
      <c r="EH41" s="149"/>
      <c r="EI41" s="149"/>
      <c r="EJ41" s="149"/>
      <c r="EK41" s="149"/>
      <c r="EL41" s="149"/>
      <c r="EM41" s="149"/>
      <c r="EN41" s="149"/>
      <c r="EO41" s="149"/>
      <c r="EP41" s="149"/>
      <c r="EQ41" s="149"/>
      <c r="ER41" s="149"/>
      <c r="ES41" s="149"/>
      <c r="ET41" s="149"/>
      <c r="EU41" s="149"/>
      <c r="EV41" s="149"/>
      <c r="EW41" s="149"/>
      <c r="EX41" s="149"/>
      <c r="EY41" s="149"/>
      <c r="EZ41" s="149"/>
      <c r="FA41" s="149"/>
      <c r="FB41" s="149"/>
      <c r="FC41" s="149"/>
      <c r="FD41" s="149"/>
      <c r="FE41" s="149"/>
      <c r="FF41" s="149"/>
      <c r="FG41" s="149"/>
      <c r="FH41" s="149"/>
      <c r="FI41" s="149"/>
      <c r="FJ41" s="149"/>
      <c r="FK41" s="149"/>
      <c r="FL41" s="149"/>
      <c r="FM41" s="149"/>
      <c r="FN41" s="149"/>
      <c r="FO41" s="149"/>
      <c r="FP41" s="149"/>
      <c r="FQ41" s="149"/>
      <c r="FR41" s="149"/>
      <c r="FS41" s="149"/>
      <c r="FT41" s="149"/>
      <c r="FU41" s="149"/>
      <c r="FV41" s="149"/>
      <c r="FW41" s="149"/>
      <c r="FX41" s="149"/>
      <c r="FY41" s="149"/>
      <c r="FZ41" s="149"/>
      <c r="GA41" s="149"/>
      <c r="GB41" s="149"/>
      <c r="GC41" s="149"/>
      <c r="GD41" s="149"/>
      <c r="GE41" s="149"/>
      <c r="GF41" s="149"/>
      <c r="GG41" s="149"/>
      <c r="GH41" s="149"/>
      <c r="GI41" s="149"/>
      <c r="GJ41" s="149"/>
      <c r="GK41" s="149"/>
      <c r="GL41" s="149"/>
      <c r="GM41" s="149"/>
      <c r="GN41" s="149"/>
      <c r="GO41" s="149"/>
      <c r="GP41" s="149"/>
      <c r="GQ41" s="149"/>
      <c r="GR41" s="149"/>
      <c r="GS41" s="149"/>
      <c r="GT41" s="149"/>
      <c r="GU41" s="149"/>
      <c r="GV41" s="149"/>
      <c r="GW41" s="149"/>
      <c r="GX41" s="149"/>
      <c r="GY41" s="149"/>
      <c r="GZ41" s="149"/>
      <c r="HA41" s="149"/>
      <c r="HB41" s="149"/>
      <c r="HC41" s="149"/>
      <c r="HD41" s="149"/>
      <c r="HE41" s="149"/>
      <c r="HF41" s="149"/>
      <c r="HG41" s="149"/>
      <c r="HH41" s="149"/>
      <c r="HI41" s="149"/>
    </row>
    <row r="42" spans="1:217" s="150" customFormat="1">
      <c r="A42" s="796"/>
      <c r="B42" s="86" t="s">
        <v>206</v>
      </c>
      <c r="C42" s="28"/>
      <c r="D42" s="164">
        <f>-223.64+228.7-236.63-38-79.66-126.55-166.02-103.65+567.94-55.17+503.89-116.84-82.72-54.97-132.63-54.35+926.65-149.3</f>
        <v>607.04999999999995</v>
      </c>
      <c r="E42" s="29" t="s">
        <v>145</v>
      </c>
      <c r="F42" s="29" t="s">
        <v>97</v>
      </c>
      <c r="G42" s="263" t="s">
        <v>149</v>
      </c>
      <c r="H42" s="8" t="s">
        <v>10</v>
      </c>
      <c r="I42" s="32" t="s">
        <v>362</v>
      </c>
      <c r="J42" s="8" t="s">
        <v>213</v>
      </c>
      <c r="K42" s="7" t="s">
        <v>374</v>
      </c>
      <c r="L42" s="333">
        <f>19.19*1.16</f>
        <v>22.260400000000001</v>
      </c>
      <c r="M42" s="38"/>
      <c r="N42" s="30">
        <f>L42+M42</f>
        <v>22.260400000000001</v>
      </c>
      <c r="O42" s="29"/>
      <c r="P42" s="29">
        <f>N42+O42</f>
        <v>22.260400000000001</v>
      </c>
      <c r="Q42" s="29"/>
      <c r="R42" s="29"/>
      <c r="S42" s="44"/>
      <c r="T42" s="32">
        <v>25</v>
      </c>
      <c r="U42" s="1052">
        <f>T42/'Grondslag bouw &amp; infra'!$B$50</f>
        <v>9.5785440613026823E-2</v>
      </c>
      <c r="V42" s="79">
        <v>15</v>
      </c>
      <c r="W42" s="80">
        <v>0</v>
      </c>
      <c r="X42" s="1052">
        <f>(V42+W42)/'Grondslag bouw &amp; infra'!$B$50</f>
        <v>5.7471264367816091E-2</v>
      </c>
      <c r="Y42" s="298"/>
      <c r="Z42" s="35">
        <f>8%*0.45</f>
        <v>3.6000000000000004E-2</v>
      </c>
      <c r="AA42" s="316"/>
      <c r="AB42" s="44"/>
      <c r="AC42" s="32">
        <v>0</v>
      </c>
      <c r="AD42" s="79">
        <v>0</v>
      </c>
      <c r="AE42" s="80">
        <v>0</v>
      </c>
      <c r="AF42" s="1052">
        <f>(AC42+AD42+AE42)/'Grondslag bouw &amp; infra'!$B$50</f>
        <v>0</v>
      </c>
      <c r="AG42" s="1041"/>
      <c r="AH42" s="522"/>
      <c r="AI42" s="1001">
        <v>2.3E-2</v>
      </c>
      <c r="AJ42" s="47"/>
      <c r="AK42" s="584">
        <f>'Grondslag bouw &amp; infra'!C31</f>
        <v>20.66769230769231</v>
      </c>
      <c r="AL42" s="47"/>
      <c r="AM42" s="9">
        <f>$AN$6*AN42</f>
        <v>0</v>
      </c>
      <c r="AN42" s="180"/>
      <c r="AO42" s="34"/>
      <c r="AP42" s="31"/>
      <c r="AQ42" s="30">
        <f>(P42*(AF42+AI42)+P42)</f>
        <v>22.772389199999999</v>
      </c>
      <c r="AR42" s="47"/>
      <c r="AS42" s="43"/>
      <c r="AT42" s="29"/>
      <c r="AU42" s="29"/>
      <c r="AV42" s="29">
        <v>0.68</v>
      </c>
      <c r="AW42" s="29">
        <v>1.1000000000000001</v>
      </c>
      <c r="AX42" s="29">
        <v>0.48</v>
      </c>
      <c r="AY42" s="30">
        <f>SUM(AS42:AX42)</f>
        <v>2.2600000000000002</v>
      </c>
      <c r="AZ42" s="143" t="s">
        <v>147</v>
      </c>
      <c r="BA42" s="188"/>
      <c r="BB42" s="419">
        <f>BC42</f>
        <v>673.75</v>
      </c>
      <c r="BC42" s="419">
        <f>2695/4</f>
        <v>673.75</v>
      </c>
      <c r="BD42" s="419">
        <f>(BB42-(AY42*5))*(1-1%)</f>
        <v>655.82550000000003</v>
      </c>
      <c r="BE42" s="30">
        <f>BD42</f>
        <v>655.82550000000003</v>
      </c>
      <c r="BF42" s="1118">
        <f>BD42</f>
        <v>655.82550000000003</v>
      </c>
      <c r="BG42" s="572" t="s">
        <v>94</v>
      </c>
      <c r="BH42" s="289"/>
      <c r="BI42" s="586"/>
      <c r="BJ42" s="149"/>
      <c r="BK42" s="149"/>
      <c r="BL42" s="149"/>
      <c r="BM42" s="149"/>
      <c r="BN42" s="149"/>
      <c r="BO42" s="149"/>
      <c r="BP42" s="149"/>
      <c r="BQ42" s="149"/>
      <c r="BR42" s="149"/>
      <c r="BS42" s="149"/>
      <c r="BT42" s="149"/>
      <c r="BU42" s="149"/>
      <c r="BV42" s="149"/>
      <c r="BW42" s="149"/>
      <c r="BX42" s="149"/>
      <c r="BY42" s="149"/>
      <c r="BZ42" s="149"/>
      <c r="CA42" s="149"/>
      <c r="CB42" s="149"/>
      <c r="CC42" s="149"/>
      <c r="CD42" s="149"/>
      <c r="CE42" s="149"/>
      <c r="CF42" s="149"/>
      <c r="CG42" s="149"/>
      <c r="CH42" s="149"/>
      <c r="CI42" s="149"/>
      <c r="CJ42" s="149"/>
      <c r="CK42" s="149"/>
      <c r="CL42" s="149"/>
      <c r="CM42" s="149"/>
      <c r="CN42" s="149"/>
      <c r="CO42" s="149"/>
      <c r="CP42" s="149"/>
      <c r="CQ42" s="149"/>
      <c r="CR42" s="149"/>
      <c r="CS42" s="149"/>
      <c r="CT42" s="149"/>
      <c r="CU42" s="149"/>
      <c r="CV42" s="149"/>
      <c r="CW42" s="149"/>
      <c r="CX42" s="149"/>
      <c r="CY42" s="149"/>
      <c r="CZ42" s="149"/>
      <c r="DA42" s="149"/>
      <c r="DB42" s="149"/>
      <c r="DC42" s="149"/>
      <c r="DD42" s="149"/>
      <c r="DE42" s="149"/>
      <c r="DF42" s="149"/>
      <c r="DG42" s="149"/>
      <c r="DH42" s="149"/>
      <c r="DI42" s="149"/>
      <c r="DJ42" s="149"/>
      <c r="DK42" s="149"/>
      <c r="DL42" s="149"/>
      <c r="DM42" s="149"/>
      <c r="DN42" s="149"/>
      <c r="DO42" s="149"/>
      <c r="DP42" s="149"/>
      <c r="DQ42" s="149"/>
      <c r="DR42" s="149"/>
      <c r="DS42" s="149"/>
      <c r="DT42" s="149"/>
      <c r="DU42" s="149"/>
      <c r="DV42" s="149"/>
      <c r="DW42" s="149"/>
      <c r="DX42" s="149"/>
      <c r="DY42" s="149"/>
      <c r="DZ42" s="149"/>
      <c r="EA42" s="149"/>
      <c r="EB42" s="149"/>
      <c r="EC42" s="149"/>
      <c r="ED42" s="149"/>
      <c r="EE42" s="149"/>
      <c r="EF42" s="149"/>
      <c r="EG42" s="149"/>
      <c r="EH42" s="149"/>
      <c r="EI42" s="149"/>
      <c r="EJ42" s="149"/>
      <c r="EK42" s="149"/>
      <c r="EL42" s="149"/>
      <c r="EM42" s="149"/>
      <c r="EN42" s="149"/>
      <c r="EO42" s="149"/>
      <c r="EP42" s="149"/>
      <c r="EQ42" s="149"/>
      <c r="ER42" s="149"/>
      <c r="ES42" s="149"/>
      <c r="ET42" s="149"/>
      <c r="EU42" s="149"/>
      <c r="EV42" s="149"/>
      <c r="EW42" s="149"/>
      <c r="EX42" s="149"/>
      <c r="EY42" s="149"/>
      <c r="EZ42" s="149"/>
      <c r="FA42" s="149"/>
      <c r="FB42" s="149"/>
      <c r="FC42" s="149"/>
      <c r="FD42" s="149"/>
      <c r="FE42" s="149"/>
      <c r="FF42" s="149"/>
      <c r="FG42" s="149"/>
      <c r="FH42" s="149"/>
      <c r="FI42" s="149"/>
      <c r="FJ42" s="149"/>
      <c r="FK42" s="149"/>
      <c r="FL42" s="149"/>
      <c r="FM42" s="149"/>
      <c r="FN42" s="149"/>
      <c r="FO42" s="149"/>
      <c r="FP42" s="149"/>
      <c r="FQ42" s="149"/>
      <c r="FR42" s="149"/>
      <c r="FS42" s="149"/>
      <c r="FT42" s="149"/>
      <c r="FU42" s="149"/>
      <c r="FV42" s="149"/>
      <c r="FW42" s="149"/>
      <c r="FX42" s="149"/>
      <c r="FY42" s="149"/>
      <c r="FZ42" s="149"/>
      <c r="GA42" s="149"/>
      <c r="GB42" s="149"/>
      <c r="GC42" s="149"/>
      <c r="GD42" s="149"/>
      <c r="GE42" s="149"/>
      <c r="GF42" s="149"/>
      <c r="GG42" s="149"/>
      <c r="GH42" s="149"/>
      <c r="GI42" s="149"/>
      <c r="GJ42" s="149"/>
      <c r="GK42" s="149"/>
      <c r="GL42" s="149"/>
      <c r="GM42" s="149"/>
      <c r="GN42" s="149"/>
      <c r="GO42" s="149"/>
      <c r="GP42" s="149"/>
      <c r="GQ42" s="149"/>
      <c r="GR42" s="149"/>
      <c r="GS42" s="149"/>
      <c r="GT42" s="149"/>
      <c r="GU42" s="149"/>
      <c r="GV42" s="149"/>
      <c r="GW42" s="149"/>
      <c r="GX42" s="149"/>
      <c r="GY42" s="149"/>
      <c r="GZ42" s="149"/>
      <c r="HA42" s="149"/>
      <c r="HB42" s="149"/>
      <c r="HC42" s="149"/>
      <c r="HD42" s="149"/>
      <c r="HE42" s="149"/>
      <c r="HF42" s="149"/>
      <c r="HG42" s="149"/>
      <c r="HH42" s="149"/>
      <c r="HI42" s="149"/>
    </row>
    <row r="43" spans="1:217" s="149" customFormat="1">
      <c r="A43" s="289"/>
      <c r="B43" s="622"/>
      <c r="C43" s="246"/>
      <c r="E43" s="289"/>
      <c r="G43" s="268"/>
      <c r="H43" s="143"/>
      <c r="I43" s="32"/>
      <c r="J43" s="8"/>
      <c r="K43" s="7"/>
      <c r="L43" s="333"/>
      <c r="M43" s="38"/>
      <c r="N43" s="30"/>
      <c r="O43" s="29"/>
      <c r="P43" s="160"/>
      <c r="Q43" s="160"/>
      <c r="R43" s="29"/>
      <c r="S43" s="76"/>
      <c r="T43" s="32"/>
      <c r="U43" s="1016"/>
      <c r="V43" s="79"/>
      <c r="W43" s="171"/>
      <c r="X43" s="1033"/>
      <c r="Y43" s="298"/>
      <c r="Z43" s="274"/>
      <c r="AA43" s="317"/>
      <c r="AB43" s="45"/>
      <c r="AD43" s="292"/>
      <c r="AE43" s="292"/>
      <c r="AF43" s="1059"/>
      <c r="AG43" s="795"/>
      <c r="AH43" s="1101"/>
      <c r="AI43" s="1003"/>
      <c r="AJ43" s="46"/>
      <c r="AK43" s="998"/>
      <c r="AL43" s="46"/>
      <c r="AM43" s="321"/>
      <c r="AQ43" s="714"/>
      <c r="AR43" s="46"/>
      <c r="AS43" s="331"/>
      <c r="AT43" s="321"/>
      <c r="AU43" s="416"/>
      <c r="AV43" s="416"/>
      <c r="AW43" s="416"/>
      <c r="AX43" s="416"/>
      <c r="AY43" s="418"/>
      <c r="AZ43" s="246"/>
      <c r="BA43" s="45"/>
      <c r="BB43" s="1091"/>
      <c r="BC43" s="885"/>
      <c r="BD43" s="885"/>
      <c r="BE43" s="543"/>
      <c r="BF43" s="1122"/>
      <c r="BG43" s="572"/>
      <c r="BH43" s="289"/>
      <c r="BI43" s="583"/>
    </row>
    <row r="44" spans="1:217" s="660" customFormat="1">
      <c r="A44" s="797"/>
      <c r="B44" s="85"/>
      <c r="C44" s="40"/>
      <c r="D44" s="824">
        <f>1-1+5.5+2.5+4.5</f>
        <v>12.5</v>
      </c>
      <c r="E44" s="115"/>
      <c r="F44" s="115"/>
      <c r="G44" s="264"/>
      <c r="H44" s="158"/>
      <c r="I44" s="40"/>
      <c r="J44" s="158"/>
      <c r="K44" s="12"/>
      <c r="L44" s="336"/>
      <c r="M44" s="204"/>
      <c r="N44" s="41"/>
      <c r="O44" s="115"/>
      <c r="P44" s="115"/>
      <c r="Q44" s="115"/>
      <c r="R44" s="115"/>
      <c r="S44" s="301"/>
      <c r="T44" s="118"/>
      <c r="U44" s="1020"/>
      <c r="V44" s="120"/>
      <c r="W44" s="80"/>
      <c r="X44" s="1016"/>
      <c r="Y44" s="300"/>
      <c r="Z44" s="119"/>
      <c r="AA44" s="316"/>
      <c r="AB44" s="301"/>
      <c r="AC44" s="118"/>
      <c r="AD44" s="79"/>
      <c r="AE44" s="80"/>
      <c r="AF44" s="1052"/>
      <c r="AG44" s="1041"/>
      <c r="AH44" s="522"/>
      <c r="AI44" s="1001"/>
      <c r="AJ44" s="302"/>
      <c r="AK44" s="584"/>
      <c r="AL44" s="302"/>
      <c r="AM44" s="138"/>
      <c r="AN44" s="904"/>
      <c r="AO44" s="116"/>
      <c r="AP44" s="141"/>
      <c r="AQ44" s="707"/>
      <c r="AR44" s="302"/>
      <c r="AS44" s="307"/>
      <c r="AT44" s="115"/>
      <c r="AU44" s="29"/>
      <c r="AV44" s="29"/>
      <c r="AW44" s="29"/>
      <c r="AX44" s="29"/>
      <c r="AY44" s="30"/>
      <c r="AZ44" s="158"/>
      <c r="BA44" s="303"/>
      <c r="BB44" s="881"/>
      <c r="BC44" s="881"/>
      <c r="BD44" s="881"/>
      <c r="BE44" s="41"/>
      <c r="BF44" s="1123"/>
      <c r="BG44" s="569"/>
      <c r="BH44" s="289"/>
      <c r="BI44" s="588"/>
      <c r="BJ44" s="289"/>
      <c r="BK44" s="289"/>
      <c r="BL44" s="289"/>
      <c r="BM44" s="289"/>
      <c r="BN44" s="289"/>
      <c r="BO44" s="289"/>
      <c r="BP44" s="289"/>
      <c r="BQ44" s="289"/>
      <c r="BR44" s="289"/>
      <c r="BS44" s="289"/>
      <c r="BT44" s="289"/>
      <c r="BU44" s="289"/>
      <c r="BV44" s="289"/>
      <c r="BW44" s="289"/>
      <c r="BX44" s="289"/>
      <c r="BY44" s="289"/>
      <c r="BZ44" s="289"/>
      <c r="CA44" s="289"/>
      <c r="CB44" s="289"/>
      <c r="CC44" s="289"/>
      <c r="CD44" s="289"/>
      <c r="CE44" s="289"/>
      <c r="CF44" s="289"/>
      <c r="CG44" s="289"/>
      <c r="CH44" s="289"/>
      <c r="CI44" s="289"/>
      <c r="CJ44" s="289"/>
      <c r="CK44" s="289"/>
      <c r="CL44" s="289"/>
      <c r="CM44" s="289"/>
      <c r="CN44" s="289"/>
      <c r="CO44" s="289"/>
      <c r="CP44" s="289"/>
      <c r="CQ44" s="289"/>
      <c r="CR44" s="289"/>
      <c r="CS44" s="289"/>
      <c r="CT44" s="289"/>
      <c r="CU44" s="289"/>
      <c r="CV44" s="289"/>
      <c r="CW44" s="289"/>
      <c r="CX44" s="289"/>
      <c r="CY44" s="289"/>
      <c r="CZ44" s="289"/>
      <c r="DA44" s="289"/>
      <c r="DB44" s="289"/>
      <c r="DC44" s="289"/>
      <c r="DD44" s="289"/>
      <c r="DE44" s="289"/>
      <c r="DF44" s="289"/>
      <c r="DG44" s="289"/>
      <c r="DH44" s="289"/>
      <c r="DI44" s="289"/>
      <c r="DJ44" s="289"/>
      <c r="DK44" s="289"/>
      <c r="DL44" s="289"/>
      <c r="DM44" s="289"/>
      <c r="DN44" s="289"/>
      <c r="DO44" s="289"/>
      <c r="DP44" s="289"/>
      <c r="DQ44" s="289"/>
      <c r="DR44" s="289"/>
      <c r="DS44" s="289"/>
      <c r="DT44" s="289"/>
      <c r="DU44" s="289"/>
      <c r="DV44" s="289"/>
      <c r="DW44" s="289"/>
      <c r="DX44" s="289"/>
      <c r="DY44" s="289"/>
      <c r="DZ44" s="289"/>
      <c r="EA44" s="289"/>
      <c r="EB44" s="289"/>
      <c r="EC44" s="289"/>
      <c r="ED44" s="289"/>
      <c r="EE44" s="289"/>
      <c r="EF44" s="289"/>
      <c r="EG44" s="289"/>
      <c r="EH44" s="289"/>
      <c r="EI44" s="289"/>
      <c r="EJ44" s="289"/>
      <c r="EK44" s="289"/>
      <c r="EL44" s="289"/>
      <c r="EM44" s="289"/>
      <c r="EN44" s="289"/>
      <c r="EO44" s="289"/>
      <c r="EP44" s="289"/>
      <c r="EQ44" s="289"/>
      <c r="ER44" s="289"/>
      <c r="ES44" s="289"/>
      <c r="ET44" s="289"/>
      <c r="EU44" s="289"/>
      <c r="EV44" s="289"/>
      <c r="EW44" s="289"/>
      <c r="EX44" s="289"/>
      <c r="EY44" s="289"/>
      <c r="EZ44" s="289"/>
      <c r="FA44" s="289"/>
      <c r="FB44" s="289"/>
      <c r="FC44" s="289"/>
      <c r="FD44" s="289"/>
      <c r="FE44" s="289"/>
      <c r="FF44" s="289"/>
      <c r="FG44" s="289"/>
      <c r="FH44" s="289"/>
      <c r="FI44" s="289"/>
      <c r="FJ44" s="289"/>
      <c r="FK44" s="289"/>
      <c r="FL44" s="289"/>
      <c r="FM44" s="289"/>
      <c r="FN44" s="289"/>
      <c r="FO44" s="289"/>
      <c r="FP44" s="289"/>
      <c r="FQ44" s="289"/>
      <c r="FR44" s="289"/>
      <c r="FS44" s="289"/>
      <c r="FT44" s="289"/>
      <c r="FU44" s="289"/>
      <c r="FV44" s="289"/>
      <c r="FW44" s="289"/>
      <c r="FX44" s="289"/>
      <c r="FY44" s="289"/>
      <c r="FZ44" s="289"/>
      <c r="GA44" s="289"/>
      <c r="GB44" s="289"/>
      <c r="GC44" s="289"/>
      <c r="GD44" s="289"/>
      <c r="GE44" s="289"/>
      <c r="GF44" s="289"/>
      <c r="GG44" s="289"/>
      <c r="GH44" s="289"/>
      <c r="GI44" s="289"/>
      <c r="GJ44" s="289"/>
      <c r="GK44" s="289"/>
      <c r="GL44" s="289"/>
      <c r="GM44" s="289"/>
      <c r="GN44" s="289"/>
      <c r="GO44" s="289"/>
      <c r="GP44" s="289"/>
      <c r="GQ44" s="289"/>
      <c r="GR44" s="289"/>
      <c r="GS44" s="289"/>
      <c r="GT44" s="289"/>
      <c r="GU44" s="289"/>
      <c r="GV44" s="289"/>
      <c r="GW44" s="289"/>
      <c r="GX44" s="289"/>
      <c r="GY44" s="289"/>
      <c r="GZ44" s="289"/>
      <c r="HA44" s="289"/>
      <c r="HB44" s="289"/>
      <c r="HC44" s="289"/>
      <c r="HD44" s="289"/>
      <c r="HE44" s="289"/>
      <c r="HF44" s="289"/>
      <c r="HG44" s="289"/>
      <c r="HH44" s="289"/>
      <c r="HI44" s="289"/>
    </row>
    <row r="45" spans="1:217" s="289" customFormat="1">
      <c r="B45" s="86"/>
      <c r="C45" s="28"/>
      <c r="D45" s="164"/>
      <c r="E45" s="29"/>
      <c r="F45" s="29"/>
      <c r="G45" s="263"/>
      <c r="H45" s="143"/>
      <c r="I45" s="28"/>
      <c r="J45" s="143"/>
      <c r="K45" s="7"/>
      <c r="L45" s="333"/>
      <c r="M45" s="38"/>
      <c r="N45" s="30"/>
      <c r="O45" s="29"/>
      <c r="P45" s="29"/>
      <c r="Q45" s="29"/>
      <c r="R45" s="29"/>
      <c r="S45" s="44"/>
      <c r="T45" s="32"/>
      <c r="U45" s="1016"/>
      <c r="V45" s="79"/>
      <c r="W45" s="80"/>
      <c r="X45" s="1016"/>
      <c r="Y45" s="298"/>
      <c r="Z45" s="35"/>
      <c r="AA45" s="316"/>
      <c r="AB45" s="44"/>
      <c r="AC45" s="32"/>
      <c r="AD45" s="79"/>
      <c r="AE45" s="80"/>
      <c r="AF45" s="1052"/>
      <c r="AG45" s="1041"/>
      <c r="AH45" s="522"/>
      <c r="AI45" s="1001"/>
      <c r="AJ45" s="47"/>
      <c r="AK45" s="584"/>
      <c r="AL45" s="47"/>
      <c r="AM45" s="9"/>
      <c r="AN45" s="180"/>
      <c r="AO45" s="34"/>
      <c r="AP45" s="31"/>
      <c r="AQ45" s="30"/>
      <c r="AR45" s="47"/>
      <c r="AS45" s="29"/>
      <c r="AT45" s="29"/>
      <c r="AU45" s="29"/>
      <c r="AV45" s="29"/>
      <c r="AW45" s="29"/>
      <c r="AX45" s="29"/>
      <c r="AY45" s="30"/>
      <c r="AZ45" s="143"/>
      <c r="BA45" s="188"/>
      <c r="BB45" s="419"/>
      <c r="BC45" s="419"/>
      <c r="BD45" s="419"/>
      <c r="BE45" s="30"/>
      <c r="BF45" s="1117"/>
      <c r="BG45" s="572"/>
      <c r="BI45" s="588"/>
    </row>
    <row r="46" spans="1:217" s="175" customFormat="1">
      <c r="A46" s="289"/>
      <c r="B46" s="86" t="s">
        <v>148</v>
      </c>
      <c r="C46" s="28"/>
      <c r="D46" s="164">
        <f>537.66-(72*1.8)-(29*1.8)</f>
        <v>355.85999999999996</v>
      </c>
      <c r="E46" s="29" t="s">
        <v>91</v>
      </c>
      <c r="F46" s="29" t="s">
        <v>114</v>
      </c>
      <c r="G46" s="263" t="s">
        <v>122</v>
      </c>
      <c r="H46" s="143" t="s">
        <v>154</v>
      </c>
      <c r="I46" s="32" t="s">
        <v>190</v>
      </c>
      <c r="J46" s="143" t="s">
        <v>227</v>
      </c>
      <c r="K46" s="174"/>
      <c r="L46" s="333">
        <v>14.71</v>
      </c>
      <c r="M46" s="38">
        <v>0.02</v>
      </c>
      <c r="N46" s="162">
        <f>L46+M46</f>
        <v>14.73</v>
      </c>
      <c r="O46" s="168"/>
      <c r="P46" s="168">
        <f>N46+O46</f>
        <v>14.73</v>
      </c>
      <c r="Q46" s="284"/>
      <c r="R46" s="285"/>
      <c r="S46" s="278"/>
      <c r="T46" s="32">
        <v>25</v>
      </c>
      <c r="U46" s="1056">
        <f>T46/'Grondslag bouw &amp; infra'!$B$50</f>
        <v>9.5785440613026823E-2</v>
      </c>
      <c r="V46" s="170">
        <v>0</v>
      </c>
      <c r="W46" s="171">
        <v>0</v>
      </c>
      <c r="X46" s="1084">
        <f>(V46+W46)/'Grondslag bouw &amp; infra'!$B$50</f>
        <v>0</v>
      </c>
      <c r="Y46" s="485"/>
      <c r="Z46" s="290"/>
      <c r="AA46" s="486"/>
      <c r="AB46" s="278"/>
      <c r="AC46" s="32">
        <v>0</v>
      </c>
      <c r="AD46" s="79">
        <v>0</v>
      </c>
      <c r="AE46" s="80">
        <v>0</v>
      </c>
      <c r="AF46" s="1052">
        <f>(AC46+AD46+AE46)/'Grondslag bouw &amp; infra'!$B$50</f>
        <v>0</v>
      </c>
      <c r="AG46" s="1041"/>
      <c r="AH46" s="522"/>
      <c r="AI46" s="1001"/>
      <c r="AJ46" s="287"/>
      <c r="AK46" s="584"/>
      <c r="AL46" s="287"/>
      <c r="AM46" s="9">
        <f>$AN$6*AN46</f>
        <v>0</v>
      </c>
      <c r="AN46" s="180"/>
      <c r="AO46" s="34"/>
      <c r="AP46" s="31"/>
      <c r="AQ46" s="30"/>
      <c r="AR46" s="287"/>
      <c r="AS46" s="29">
        <f>(7.5*1.34)</f>
        <v>10.050000000000001</v>
      </c>
      <c r="AT46" s="29"/>
      <c r="AU46" s="29"/>
      <c r="AV46" s="29"/>
      <c r="AW46" s="29">
        <v>1.6</v>
      </c>
      <c r="AX46" s="29"/>
      <c r="AY46" s="958">
        <f>SUM(AS46+AW46)</f>
        <v>11.65</v>
      </c>
      <c r="AZ46" s="143" t="s">
        <v>176</v>
      </c>
      <c r="BA46" s="278"/>
      <c r="BB46" s="917">
        <f>BC46-(5*AY46)</f>
        <v>494.875</v>
      </c>
      <c r="BC46" s="419">
        <f>2212.5/4</f>
        <v>553.125</v>
      </c>
      <c r="BD46" s="916">
        <f>BB46</f>
        <v>494.875</v>
      </c>
      <c r="BE46" s="30">
        <f>BD46</f>
        <v>494.875</v>
      </c>
      <c r="BF46" s="1119">
        <f>BD46</f>
        <v>494.875</v>
      </c>
      <c r="BG46" s="572" t="s">
        <v>232</v>
      </c>
      <c r="BH46" s="289"/>
      <c r="BI46" s="583"/>
    </row>
    <row r="47" spans="1:217" s="149" customFormat="1">
      <c r="A47" s="1269"/>
      <c r="B47" s="427"/>
      <c r="C47" s="391"/>
      <c r="D47" s="422"/>
      <c r="E47" s="428"/>
      <c r="F47" s="428"/>
      <c r="G47" s="429"/>
      <c r="H47" s="430"/>
      <c r="I47" s="391"/>
      <c r="J47" s="430"/>
      <c r="K47" s="378"/>
      <c r="L47" s="432"/>
      <c r="M47" s="428"/>
      <c r="N47" s="146"/>
      <c r="O47" s="147"/>
      <c r="P47" s="147"/>
      <c r="Q47" s="428"/>
      <c r="R47" s="428"/>
      <c r="S47" s="470"/>
      <c r="T47" s="391"/>
      <c r="U47" s="1024"/>
      <c r="V47" s="431"/>
      <c r="W47" s="431"/>
      <c r="X47" s="1024"/>
      <c r="Y47" s="466"/>
      <c r="Z47" s="433"/>
      <c r="AA47" s="467"/>
      <c r="AB47" s="179"/>
      <c r="AC47" s="391"/>
      <c r="AD47" s="391"/>
      <c r="AE47" s="391"/>
      <c r="AF47" s="1060"/>
      <c r="AG47" s="538"/>
      <c r="AH47" s="1102"/>
      <c r="AI47" s="1004"/>
      <c r="AJ47" s="346"/>
      <c r="AK47" s="999"/>
      <c r="AL47" s="346"/>
      <c r="AM47" s="428"/>
      <c r="AN47" s="911"/>
      <c r="AO47" s="422"/>
      <c r="AP47" s="491"/>
      <c r="AQ47" s="715"/>
      <c r="AR47" s="346"/>
      <c r="AS47" s="511"/>
      <c r="AT47" s="512"/>
      <c r="AU47" s="512"/>
      <c r="AV47" s="428"/>
      <c r="AW47" s="428"/>
      <c r="AX47" s="428"/>
      <c r="AY47" s="422"/>
      <c r="AZ47" s="430"/>
      <c r="BA47" s="179"/>
      <c r="BB47" s="881"/>
      <c r="BC47" s="881"/>
      <c r="BD47" s="881"/>
      <c r="BE47" s="41"/>
      <c r="BF47" s="1120"/>
      <c r="BG47" s="582"/>
      <c r="BH47" s="289"/>
      <c r="BI47" s="583"/>
    </row>
    <row r="48" spans="1:217">
      <c r="B48" s="86" t="s">
        <v>237</v>
      </c>
      <c r="C48" s="28"/>
      <c r="D48" s="337">
        <f>-64.45-203.93-62.94-262.8-98.76+429.51</f>
        <v>-263.37</v>
      </c>
      <c r="E48" s="29" t="s">
        <v>91</v>
      </c>
      <c r="F48" s="29" t="s">
        <v>97</v>
      </c>
      <c r="G48" s="263" t="s">
        <v>149</v>
      </c>
      <c r="H48" s="8" t="s">
        <v>10</v>
      </c>
      <c r="I48" s="32" t="s">
        <v>362</v>
      </c>
      <c r="J48" s="8" t="s">
        <v>450</v>
      </c>
      <c r="K48" s="7" t="s">
        <v>509</v>
      </c>
      <c r="L48" s="333">
        <v>15.77</v>
      </c>
      <c r="M48" s="38"/>
      <c r="N48" s="30">
        <f>L48+M48</f>
        <v>15.77</v>
      </c>
      <c r="O48" s="29"/>
      <c r="P48" s="29">
        <f>N48+O48</f>
        <v>15.77</v>
      </c>
      <c r="Q48" s="29" t="s">
        <v>171</v>
      </c>
      <c r="R48" s="29"/>
      <c r="S48" s="76"/>
      <c r="T48" s="32">
        <v>25</v>
      </c>
      <c r="U48" s="1052">
        <f>T48/'Grondslag bouw &amp; infra'!$B$50</f>
        <v>9.5785440613026823E-2</v>
      </c>
      <c r="V48" s="79">
        <v>15</v>
      </c>
      <c r="W48" s="80">
        <v>0</v>
      </c>
      <c r="X48" s="1052">
        <f>(V48+W48)/'Grondslag bouw &amp; infra'!$B$50</f>
        <v>5.7471264367816091E-2</v>
      </c>
      <c r="Z48" s="35"/>
      <c r="AA48" s="316"/>
      <c r="AB48" s="45">
        <v>0</v>
      </c>
      <c r="AC48" s="32">
        <v>0</v>
      </c>
      <c r="AD48" s="79">
        <v>0</v>
      </c>
      <c r="AE48" s="80">
        <v>0</v>
      </c>
      <c r="AF48" s="1052">
        <f>(AC48+AD48+AE48)/'Grondslag bouw &amp; infra'!$B$50</f>
        <v>0</v>
      </c>
      <c r="AG48" s="1041"/>
      <c r="AH48" s="522"/>
      <c r="AI48" s="1001">
        <v>2.3E-2</v>
      </c>
      <c r="AK48" s="1008"/>
      <c r="AM48" s="9">
        <f>$AN$6*AN48</f>
        <v>0</v>
      </c>
      <c r="AO48" s="34"/>
      <c r="AQ48" s="30">
        <f>(P48*(AF48+AI48)+P48)</f>
        <v>16.132709999999999</v>
      </c>
      <c r="AS48" s="43">
        <v>9.1</v>
      </c>
      <c r="AT48" s="29"/>
      <c r="AU48" s="29"/>
      <c r="AV48" s="29">
        <v>0.68</v>
      </c>
      <c r="AW48" s="29">
        <v>1.1000000000000001</v>
      </c>
      <c r="AX48" s="29">
        <v>0.48</v>
      </c>
      <c r="AY48" s="958">
        <f>SUM(AS48:AX48)</f>
        <v>11.36</v>
      </c>
      <c r="AZ48" s="29">
        <v>0.25</v>
      </c>
      <c r="BB48" s="916">
        <f>BC48-(5*AY48)</f>
        <v>574.92500000000007</v>
      </c>
      <c r="BC48" s="419">
        <f>2526.9/4</f>
        <v>631.72500000000002</v>
      </c>
      <c r="BD48" s="916">
        <f>BB48</f>
        <v>574.92500000000007</v>
      </c>
      <c r="BE48" s="30">
        <f>BD48</f>
        <v>574.92500000000007</v>
      </c>
      <c r="BF48" s="1117">
        <f>BD48</f>
        <v>574.92500000000007</v>
      </c>
      <c r="BG48" s="572"/>
      <c r="BH48" s="289"/>
    </row>
    <row r="49" spans="1:217" s="149" customFormat="1">
      <c r="A49" s="289"/>
      <c r="B49" s="465"/>
      <c r="C49" s="431"/>
      <c r="D49" s="146"/>
      <c r="E49" s="147"/>
      <c r="F49" s="147"/>
      <c r="G49" s="309"/>
      <c r="H49" s="145"/>
      <c r="I49" s="28"/>
      <c r="J49" s="143"/>
      <c r="K49" s="519"/>
      <c r="L49" s="333"/>
      <c r="M49" s="147"/>
      <c r="N49" s="147"/>
      <c r="O49" s="147"/>
      <c r="P49" s="147"/>
      <c r="Q49" s="154"/>
      <c r="R49" s="147"/>
      <c r="S49" s="470"/>
      <c r="T49" s="431"/>
      <c r="U49" s="1024"/>
      <c r="V49" s="431"/>
      <c r="W49" s="152"/>
      <c r="X49" s="1031"/>
      <c r="Y49" s="466"/>
      <c r="Z49" s="433"/>
      <c r="AA49" s="467"/>
      <c r="AB49" s="470"/>
      <c r="AC49" s="431"/>
      <c r="AD49" s="152"/>
      <c r="AE49" s="152"/>
      <c r="AF49" s="1054"/>
      <c r="AG49" s="369"/>
      <c r="AH49" s="1097"/>
      <c r="AI49" s="1002"/>
      <c r="AJ49" s="471"/>
      <c r="AK49" s="585"/>
      <c r="AL49" s="471"/>
      <c r="AM49" s="147"/>
      <c r="AN49" s="912"/>
      <c r="AO49" s="146"/>
      <c r="AP49" s="434"/>
      <c r="AQ49" s="716"/>
      <c r="AR49" s="471"/>
      <c r="AS49" s="513"/>
      <c r="AT49" s="514"/>
      <c r="AU49" s="178"/>
      <c r="AV49" s="154"/>
      <c r="AW49" s="154"/>
      <c r="AX49" s="154"/>
      <c r="AY49" s="146"/>
      <c r="AZ49" s="151"/>
      <c r="BA49" s="470"/>
      <c r="BB49" s="419"/>
      <c r="BC49" s="419"/>
      <c r="BD49" s="419"/>
      <c r="BE49" s="30"/>
      <c r="BF49" s="1119"/>
      <c r="BG49" s="678"/>
      <c r="BH49" s="289"/>
      <c r="BI49" s="583"/>
    </row>
    <row r="50" spans="1:217" s="289" customFormat="1">
      <c r="A50" s="1269"/>
      <c r="B50" s="85"/>
      <c r="C50" s="40"/>
      <c r="D50" s="41"/>
      <c r="E50" s="115"/>
      <c r="F50" s="115"/>
      <c r="G50" s="264"/>
      <c r="H50" s="158"/>
      <c r="I50" s="40"/>
      <c r="J50" s="158"/>
      <c r="K50" s="587"/>
      <c r="L50" s="595"/>
      <c r="M50" s="115"/>
      <c r="N50" s="41"/>
      <c r="O50" s="115"/>
      <c r="P50" s="115"/>
      <c r="Q50" s="115"/>
      <c r="R50" s="115"/>
      <c r="S50" s="139"/>
      <c r="T50" s="40"/>
      <c r="U50" s="1020"/>
      <c r="V50" s="40"/>
      <c r="W50" s="28"/>
      <c r="X50" s="1016"/>
      <c r="Y50" s="468"/>
      <c r="Z50" s="119"/>
      <c r="AA50" s="318"/>
      <c r="AB50" s="301"/>
      <c r="AC50" s="40"/>
      <c r="AD50" s="28"/>
      <c r="AE50" s="28"/>
      <c r="AF50" s="1052"/>
      <c r="AG50" s="374"/>
      <c r="AH50" s="522"/>
      <c r="AI50" s="1001"/>
      <c r="AJ50" s="302"/>
      <c r="AK50" s="29"/>
      <c r="AL50" s="302"/>
      <c r="AM50" s="115"/>
      <c r="AN50" s="687"/>
      <c r="AO50" s="41"/>
      <c r="AP50" s="122"/>
      <c r="AQ50" s="707"/>
      <c r="AR50" s="302"/>
      <c r="AS50" s="307"/>
      <c r="AT50" s="115"/>
      <c r="AU50" s="29"/>
      <c r="AV50" s="29"/>
      <c r="AW50" s="29"/>
      <c r="AX50" s="29"/>
      <c r="AY50" s="41"/>
      <c r="AZ50" s="143"/>
      <c r="BA50" s="303"/>
      <c r="BB50" s="881"/>
      <c r="BC50" s="881"/>
      <c r="BD50" s="881"/>
      <c r="BE50" s="41"/>
      <c r="BF50" s="1120"/>
      <c r="BG50" s="581"/>
      <c r="BI50" s="588"/>
    </row>
    <row r="51" spans="1:217" s="642" customFormat="1">
      <c r="B51" s="627" t="s">
        <v>168</v>
      </c>
      <c r="C51" s="628"/>
      <c r="D51" s="1270"/>
      <c r="E51" s="630" t="s">
        <v>91</v>
      </c>
      <c r="F51" s="630" t="s">
        <v>97</v>
      </c>
      <c r="G51" s="631" t="s">
        <v>122</v>
      </c>
      <c r="H51" s="632" t="s">
        <v>10</v>
      </c>
      <c r="I51" s="628" t="s">
        <v>551</v>
      </c>
      <c r="J51" s="632" t="s">
        <v>169</v>
      </c>
      <c r="K51" s="626" t="s">
        <v>204</v>
      </c>
      <c r="L51" s="633">
        <v>21.7</v>
      </c>
      <c r="M51" s="630"/>
      <c r="N51" s="629">
        <f>L51+M51</f>
        <v>21.7</v>
      </c>
      <c r="O51" s="630"/>
      <c r="P51" s="630">
        <f>N51+O51</f>
        <v>21.7</v>
      </c>
      <c r="Q51" s="630" t="s">
        <v>171</v>
      </c>
      <c r="R51" s="630"/>
      <c r="S51" s="1237"/>
      <c r="T51" s="628">
        <v>20</v>
      </c>
      <c r="U51" s="1058">
        <f>T51/'Grondslag bouw &amp; infra'!$B$50</f>
        <v>7.662835249042145E-2</v>
      </c>
      <c r="V51" s="628">
        <v>0</v>
      </c>
      <c r="W51" s="628">
        <v>0</v>
      </c>
      <c r="X51" s="1058">
        <f>(V51+W51)/'Grondslag bouw &amp; infra'!$B$50</f>
        <v>0</v>
      </c>
      <c r="Y51" s="636"/>
      <c r="Z51" s="1238"/>
      <c r="AA51" s="637"/>
      <c r="AB51" s="1237"/>
      <c r="AC51" s="628">
        <v>5</v>
      </c>
      <c r="AD51" s="628">
        <v>15</v>
      </c>
      <c r="AE51" s="628">
        <v>0</v>
      </c>
      <c r="AF51" s="1058">
        <f>(AC51+AD51+AE51)/'Grondslag bouw &amp; infra'!$B$50</f>
        <v>7.662835249042145E-2</v>
      </c>
      <c r="AG51" s="636"/>
      <c r="AH51" s="1100"/>
      <c r="AI51" s="1239">
        <v>2.3E-2</v>
      </c>
      <c r="AJ51" s="1240"/>
      <c r="AK51" s="1271"/>
      <c r="AL51" s="1240"/>
      <c r="AM51" s="630">
        <f>2*AN6</f>
        <v>37.9</v>
      </c>
      <c r="AN51" s="908">
        <v>2</v>
      </c>
      <c r="AO51" s="1100"/>
      <c r="AP51" s="635"/>
      <c r="AQ51" s="629"/>
      <c r="AR51" s="1240"/>
      <c r="AS51" s="1242"/>
      <c r="AT51" s="630"/>
      <c r="AU51" s="630"/>
      <c r="AV51" s="630">
        <v>0.68</v>
      </c>
      <c r="AW51" s="630"/>
      <c r="AX51" s="630">
        <v>0.48</v>
      </c>
      <c r="AY51" s="629">
        <v>0.27</v>
      </c>
      <c r="AZ51" s="632"/>
      <c r="BA51" s="1237"/>
      <c r="BB51" s="629">
        <f>937.5-17+5.21+7.52</f>
        <v>933.23</v>
      </c>
      <c r="BC51" s="629">
        <f>2962.53/4</f>
        <v>740.63250000000005</v>
      </c>
      <c r="BD51" s="629">
        <f>(BB51-(AY51*5))*(1-1%)</f>
        <v>922.56119999999999</v>
      </c>
      <c r="BE51" s="629">
        <f>BD51</f>
        <v>922.56119999999999</v>
      </c>
      <c r="BF51" s="629">
        <f>BD51</f>
        <v>922.56119999999999</v>
      </c>
      <c r="BG51" s="1272" t="s">
        <v>249</v>
      </c>
      <c r="BI51" s="643"/>
    </row>
    <row r="52" spans="1:217" s="4" customFormat="1">
      <c r="A52" s="1185"/>
      <c r="B52" s="207"/>
      <c r="C52" s="137"/>
      <c r="D52" s="280"/>
      <c r="E52" s="294"/>
      <c r="F52" s="168"/>
      <c r="G52" s="265"/>
      <c r="H52" s="296"/>
      <c r="I52" s="169"/>
      <c r="J52" s="296"/>
      <c r="K52" s="210"/>
      <c r="L52" s="326"/>
      <c r="M52" s="218"/>
      <c r="N52" s="162"/>
      <c r="O52" s="168"/>
      <c r="P52" s="160"/>
      <c r="Q52" s="160"/>
      <c r="R52" s="168"/>
      <c r="S52" s="211"/>
      <c r="T52" s="169"/>
      <c r="U52" s="1021"/>
      <c r="V52" s="170"/>
      <c r="W52" s="171"/>
      <c r="X52" s="1033"/>
      <c r="Y52" s="299"/>
      <c r="Z52" s="274"/>
      <c r="AA52" s="317"/>
      <c r="AB52" s="213"/>
      <c r="AC52" s="169"/>
      <c r="AD52" s="170"/>
      <c r="AE52" s="171"/>
      <c r="AF52" s="1056"/>
      <c r="AG52" s="1043"/>
      <c r="AH52" s="1036"/>
      <c r="AI52" s="1002"/>
      <c r="AJ52" s="217"/>
      <c r="AK52" s="585"/>
      <c r="AL52" s="217"/>
      <c r="AM52" s="160"/>
      <c r="AN52" s="910"/>
      <c r="AO52" s="167"/>
      <c r="AP52" s="214"/>
      <c r="AQ52" s="713"/>
      <c r="AR52" s="217"/>
      <c r="AS52" s="504"/>
      <c r="AT52" s="417"/>
      <c r="AU52" s="417"/>
      <c r="AV52" s="417"/>
      <c r="AW52" s="417"/>
      <c r="AX52" s="417"/>
      <c r="AY52" s="505"/>
      <c r="AZ52" s="296"/>
      <c r="BA52" s="213"/>
      <c r="BB52" s="884"/>
      <c r="BC52" s="884"/>
      <c r="BD52" s="884"/>
      <c r="BE52" s="162"/>
      <c r="BF52" s="1119"/>
      <c r="BG52" s="682"/>
      <c r="BH52" s="289"/>
      <c r="BI52" s="583"/>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row>
    <row r="53" spans="1:217" s="149" customFormat="1">
      <c r="A53" s="289"/>
      <c r="B53" s="86" t="s">
        <v>205</v>
      </c>
      <c r="C53" s="431"/>
      <c r="D53" s="164">
        <f>91.95</f>
        <v>91.95</v>
      </c>
      <c r="E53" s="29" t="s">
        <v>91</v>
      </c>
      <c r="F53" s="29" t="s">
        <v>92</v>
      </c>
      <c r="G53" s="263" t="s">
        <v>122</v>
      </c>
      <c r="H53" s="8" t="s">
        <v>11</v>
      </c>
      <c r="I53" s="32" t="s">
        <v>111</v>
      </c>
      <c r="J53" s="8" t="s">
        <v>93</v>
      </c>
      <c r="K53" s="7" t="s">
        <v>64</v>
      </c>
      <c r="L53" s="333">
        <v>20.02</v>
      </c>
      <c r="M53" s="38"/>
      <c r="N53" s="30">
        <f>L53+M53</f>
        <v>20.02</v>
      </c>
      <c r="O53" s="29"/>
      <c r="P53" s="29">
        <f>N53+O53</f>
        <v>20.02</v>
      </c>
      <c r="Q53" s="29"/>
      <c r="R53" s="29"/>
      <c r="S53" s="470"/>
      <c r="T53" s="32">
        <v>20</v>
      </c>
      <c r="U53" s="1052">
        <f>T53/'Grondslag bouw &amp; infra'!$B$50</f>
        <v>7.662835249042145E-2</v>
      </c>
      <c r="V53" s="79">
        <v>9</v>
      </c>
      <c r="W53" s="80">
        <v>0</v>
      </c>
      <c r="X53" s="1052">
        <f>(V53+W53)/'Grondslag bouw &amp; infra'!$B$50</f>
        <v>3.4482758620689655E-2</v>
      </c>
      <c r="Y53" s="298"/>
      <c r="Z53" s="433"/>
      <c r="AA53" s="467"/>
      <c r="AB53" s="470"/>
      <c r="AC53" s="32">
        <v>5</v>
      </c>
      <c r="AD53" s="79">
        <v>11</v>
      </c>
      <c r="AE53" s="80">
        <v>0</v>
      </c>
      <c r="AF53" s="1052">
        <f>(AC53+AD53+AE53)/'Grondslag bouw &amp; infra'!$B$50</f>
        <v>6.1302681992337162E-2</v>
      </c>
      <c r="AG53" s="1041"/>
      <c r="AH53" s="522"/>
      <c r="AI53" s="1001">
        <v>3.6499999999999998E-2</v>
      </c>
      <c r="AJ53" s="471"/>
      <c r="AK53" s="1009"/>
      <c r="AL53" s="471"/>
      <c r="AM53" s="9">
        <f>$AN$6*AN53</f>
        <v>0</v>
      </c>
      <c r="AN53" s="180"/>
      <c r="AO53" s="34"/>
      <c r="AP53" s="31"/>
      <c r="AQ53" s="30"/>
      <c r="AR53" s="471"/>
      <c r="AS53" s="43"/>
      <c r="AT53" s="29"/>
      <c r="AU53" s="29">
        <v>0.96</v>
      </c>
      <c r="AV53" s="29">
        <v>0.68</v>
      </c>
      <c r="AW53" s="29">
        <v>1.1000000000000001</v>
      </c>
      <c r="AX53" s="29">
        <v>0.48</v>
      </c>
      <c r="AY53" s="30">
        <f>SUM(AS53:AX53)</f>
        <v>3.22</v>
      </c>
      <c r="AZ53" s="29">
        <v>0.32</v>
      </c>
      <c r="BA53" s="470"/>
      <c r="BB53" s="419">
        <f>605.03+25.1+9.25+17.2+15+3.5+25+11.21+21.96</f>
        <v>733.25000000000011</v>
      </c>
      <c r="BC53" s="419">
        <f>2750.23/4</f>
        <v>687.5575</v>
      </c>
      <c r="BD53" s="419">
        <f>(BB53-(AY53*5))*(1-1%)</f>
        <v>709.97850000000005</v>
      </c>
      <c r="BE53" s="30">
        <f>BD53</f>
        <v>709.97850000000005</v>
      </c>
      <c r="BF53" s="1118">
        <f>BD53</f>
        <v>709.97850000000005</v>
      </c>
      <c r="BG53" s="579"/>
      <c r="BH53" s="289"/>
      <c r="BI53" s="586"/>
    </row>
    <row r="54" spans="1:217">
      <c r="B54" s="86"/>
      <c r="C54" s="28"/>
      <c r="D54" s="164"/>
      <c r="E54" s="29"/>
      <c r="F54" s="29"/>
      <c r="G54" s="263"/>
      <c r="H54" s="143"/>
      <c r="I54" s="32"/>
      <c r="J54" s="8"/>
      <c r="K54" s="7"/>
      <c r="L54" s="324"/>
      <c r="M54" s="38"/>
      <c r="N54" s="30"/>
      <c r="O54" s="29"/>
      <c r="P54" s="29"/>
      <c r="Q54" s="29"/>
      <c r="R54" s="29"/>
      <c r="S54" s="76"/>
      <c r="T54" s="32"/>
      <c r="U54" s="1016"/>
      <c r="V54" s="79"/>
      <c r="W54" s="80"/>
      <c r="X54" s="1016"/>
      <c r="Z54" s="35"/>
      <c r="AA54" s="316"/>
      <c r="AB54" s="45"/>
      <c r="AC54" s="32"/>
      <c r="AD54" s="79"/>
      <c r="AE54" s="80"/>
      <c r="AF54" s="1052"/>
      <c r="AG54" s="1041"/>
      <c r="AH54" s="522"/>
      <c r="AJ54" s="47"/>
      <c r="AL54" s="47"/>
      <c r="AO54" s="34"/>
      <c r="AQ54" s="706"/>
      <c r="AR54" s="47"/>
      <c r="AS54" s="43"/>
      <c r="AT54" s="29"/>
      <c r="AU54" s="29"/>
      <c r="AZ54" s="143"/>
      <c r="BB54" s="419"/>
      <c r="BC54" s="419"/>
      <c r="BD54" s="419"/>
      <c r="BE54" s="30"/>
      <c r="BF54" s="1118"/>
      <c r="BG54" s="579"/>
      <c r="BH54" s="289"/>
    </row>
    <row r="55" spans="1:217">
      <c r="B55" s="207"/>
      <c r="C55" s="137"/>
      <c r="D55" s="163"/>
      <c r="E55" s="168"/>
      <c r="F55" s="168"/>
      <c r="G55" s="265"/>
      <c r="H55" s="208"/>
      <c r="I55" s="208"/>
      <c r="J55" s="209"/>
      <c r="K55" s="210"/>
      <c r="L55" s="326"/>
      <c r="M55" s="218"/>
      <c r="N55" s="168"/>
      <c r="O55" s="160"/>
      <c r="P55" s="160"/>
      <c r="Q55" s="160"/>
      <c r="R55" s="160"/>
      <c r="S55" s="211"/>
      <c r="T55" s="209"/>
      <c r="U55" s="1013"/>
      <c r="V55" s="209"/>
      <c r="W55" s="209"/>
      <c r="X55" s="1013"/>
      <c r="Y55" s="299"/>
      <c r="Z55" s="274"/>
      <c r="AA55" s="317"/>
      <c r="AB55" s="213"/>
      <c r="AC55" s="208"/>
      <c r="AD55" s="208"/>
      <c r="AE55" s="215"/>
      <c r="AF55" s="1051"/>
      <c r="AG55" s="1045"/>
      <c r="AH55" s="216"/>
      <c r="AI55" s="1002"/>
      <c r="AJ55" s="217"/>
      <c r="AK55" s="585"/>
      <c r="AL55" s="217"/>
      <c r="AM55" s="160"/>
      <c r="AN55" s="910"/>
      <c r="AO55" s="216"/>
      <c r="AP55" s="214"/>
      <c r="AQ55" s="216"/>
      <c r="AR55" s="217"/>
      <c r="AS55" s="328"/>
      <c r="AT55" s="160"/>
      <c r="AU55" s="160"/>
      <c r="AV55" s="160"/>
      <c r="AW55" s="160"/>
      <c r="AX55" s="160"/>
      <c r="AY55" s="329"/>
      <c r="AZ55" s="296"/>
      <c r="BA55" s="213"/>
      <c r="BB55" s="887"/>
      <c r="BC55" s="887"/>
      <c r="BD55" s="886"/>
      <c r="BE55" s="1110"/>
      <c r="BF55" s="1121"/>
      <c r="BG55" s="577"/>
      <c r="BH55" s="289"/>
    </row>
    <row r="56" spans="1:217" s="149" customFormat="1">
      <c r="A56" s="1269"/>
      <c r="B56" s="85"/>
      <c r="C56" s="391"/>
      <c r="D56" s="165"/>
      <c r="E56" s="115"/>
      <c r="F56" s="115"/>
      <c r="G56" s="264"/>
      <c r="H56" s="117"/>
      <c r="I56" s="118"/>
      <c r="J56" s="8"/>
      <c r="K56" s="12"/>
      <c r="L56" s="336"/>
      <c r="M56" s="204"/>
      <c r="N56" s="41"/>
      <c r="O56" s="115"/>
      <c r="P56" s="115"/>
      <c r="Q56" s="29"/>
      <c r="R56" s="115"/>
      <c r="S56" s="179"/>
      <c r="T56" s="118"/>
      <c r="U56" s="1016"/>
      <c r="V56" s="120"/>
      <c r="W56" s="121"/>
      <c r="X56" s="1016"/>
      <c r="Y56" s="300"/>
      <c r="Z56" s="344"/>
      <c r="AA56" s="345"/>
      <c r="AB56" s="179"/>
      <c r="AC56" s="118"/>
      <c r="AD56" s="120"/>
      <c r="AE56" s="121"/>
      <c r="AF56" s="1052"/>
      <c r="AG56" s="1040"/>
      <c r="AH56" s="522"/>
      <c r="AI56" s="1001" t="s">
        <v>389</v>
      </c>
      <c r="AJ56" s="346"/>
      <c r="AK56" s="584"/>
      <c r="AL56" s="346"/>
      <c r="AM56" s="138"/>
      <c r="AN56" s="904"/>
      <c r="AO56" s="116"/>
      <c r="AP56" s="141"/>
      <c r="AQ56" s="707"/>
      <c r="AR56" s="346"/>
      <c r="AS56" s="43"/>
      <c r="AT56" s="29"/>
      <c r="AU56" s="29"/>
      <c r="AV56" s="29"/>
      <c r="AW56" s="29"/>
      <c r="AX56" s="29"/>
      <c r="AY56" s="30"/>
      <c r="AZ56" s="143"/>
      <c r="BA56" s="179"/>
      <c r="BB56" s="881"/>
      <c r="BC56" s="881"/>
      <c r="BD56" s="881"/>
      <c r="BE56" s="41"/>
      <c r="BF56" s="1120"/>
      <c r="BG56" s="579"/>
      <c r="BH56" s="289"/>
      <c r="BI56" s="583"/>
    </row>
    <row r="57" spans="1:217">
      <c r="B57" s="86" t="s">
        <v>121</v>
      </c>
      <c r="C57" s="28"/>
      <c r="D57" s="164">
        <f>1330.2-74-128-112.39-149.58-82.6-111.69-120-148.42-270-139.63-20.62+1859.46-150-575+25.07+50.13-900+722.47+314.5-59.92-91.89-1440+303.2+1548.29-90.99-126.45</f>
        <v>1362.14</v>
      </c>
      <c r="E57" s="29" t="s">
        <v>91</v>
      </c>
      <c r="F57" s="29" t="s">
        <v>97</v>
      </c>
      <c r="G57" s="28" t="s">
        <v>122</v>
      </c>
      <c r="H57" s="8" t="s">
        <v>10</v>
      </c>
      <c r="I57" s="32" t="s">
        <v>361</v>
      </c>
      <c r="J57" s="818" t="s">
        <v>396</v>
      </c>
      <c r="K57" s="601" t="s">
        <v>131</v>
      </c>
      <c r="L57" s="333">
        <f>15.77</f>
        <v>15.77</v>
      </c>
      <c r="M57" s="1144">
        <v>1.04</v>
      </c>
      <c r="N57" s="30">
        <f>L57*M57</f>
        <v>16.4008</v>
      </c>
      <c r="O57" s="29"/>
      <c r="P57" s="29">
        <f>N57+O57</f>
        <v>16.4008</v>
      </c>
      <c r="Q57" s="29"/>
      <c r="R57" s="29"/>
      <c r="S57" s="76"/>
      <c r="T57" s="32">
        <v>25</v>
      </c>
      <c r="U57" s="1052">
        <f>T57/'Grondslag bouw &amp; infra'!$B$50</f>
        <v>9.5785440613026823E-2</v>
      </c>
      <c r="V57" s="79">
        <v>15</v>
      </c>
      <c r="W57" s="80">
        <v>3</v>
      </c>
      <c r="X57" s="1052">
        <f>(V57+W57)/'Grondslag bouw &amp; infra'!$B$50</f>
        <v>6.8965517241379309E-2</v>
      </c>
      <c r="Z57" s="35"/>
      <c r="AA57" s="316"/>
      <c r="AB57" s="45"/>
      <c r="AC57" s="32">
        <v>0</v>
      </c>
      <c r="AD57" s="79">
        <v>0</v>
      </c>
      <c r="AE57" s="80">
        <v>0</v>
      </c>
      <c r="AF57" s="1052">
        <f>(AC57+AD57+AE57)/'Grondslag bouw &amp; infra'!$B$50</f>
        <v>0</v>
      </c>
      <c r="AG57" s="1041"/>
      <c r="AH57" s="522"/>
      <c r="AI57" s="1001">
        <v>2.3E-2</v>
      </c>
      <c r="AK57" s="1008"/>
      <c r="AM57" s="9">
        <f>$AN$6*AN57</f>
        <v>0</v>
      </c>
      <c r="AO57" s="34"/>
      <c r="AQ57" s="30">
        <f>(P57*(AF57+AI57)+P57)</f>
        <v>16.778018400000001</v>
      </c>
      <c r="AS57" s="43">
        <f>(0.08+0.12+0.06)*8</f>
        <v>2.08</v>
      </c>
      <c r="AT57" s="29"/>
      <c r="AU57" s="29"/>
      <c r="AV57" s="29"/>
      <c r="AW57" s="29"/>
      <c r="AX57" s="29"/>
      <c r="AY57" s="30">
        <f>SUM(AS57:AX57)</f>
        <v>2.08</v>
      </c>
      <c r="AZ57" s="29">
        <v>0.25</v>
      </c>
      <c r="BB57" s="419">
        <f>BC57</f>
        <v>560.44000000000005</v>
      </c>
      <c r="BC57" s="419">
        <f>2241.76/4</f>
        <v>560.44000000000005</v>
      </c>
      <c r="BD57" s="419">
        <f>(BB57-(AY57*5))*(1-1%)</f>
        <v>544.53960000000006</v>
      </c>
      <c r="BE57" s="30">
        <f>BD57</f>
        <v>544.53960000000006</v>
      </c>
      <c r="BF57" s="1117">
        <f>BD57</f>
        <v>544.53960000000006</v>
      </c>
      <c r="BG57" s="568"/>
      <c r="BH57" s="289"/>
      <c r="BI57" s="586"/>
    </row>
    <row r="58" spans="1:217" s="4" customFormat="1">
      <c r="A58" s="1185"/>
      <c r="B58" s="207"/>
      <c r="C58" s="137"/>
      <c r="D58" s="163"/>
      <c r="E58" s="168"/>
      <c r="F58" s="168"/>
      <c r="G58" s="265"/>
      <c r="H58" s="209"/>
      <c r="I58" s="209"/>
      <c r="J58" s="209"/>
      <c r="K58" s="210"/>
      <c r="L58" s="326"/>
      <c r="M58" s="218"/>
      <c r="N58" s="168"/>
      <c r="O58" s="160"/>
      <c r="P58" s="160"/>
      <c r="Q58" s="160"/>
      <c r="R58" s="160"/>
      <c r="S58" s="211"/>
      <c r="T58" s="209"/>
      <c r="U58" s="1013"/>
      <c r="V58" s="209"/>
      <c r="W58" s="209"/>
      <c r="X58" s="1013"/>
      <c r="Y58" s="299"/>
      <c r="Z58" s="296"/>
      <c r="AA58" s="317"/>
      <c r="AB58" s="213"/>
      <c r="AC58" s="209"/>
      <c r="AD58" s="209"/>
      <c r="AE58" s="424"/>
      <c r="AF58" s="1051"/>
      <c r="AG58" s="1046"/>
      <c r="AH58" s="216"/>
      <c r="AI58" s="1002"/>
      <c r="AJ58" s="217"/>
      <c r="AK58" s="585"/>
      <c r="AL58" s="217"/>
      <c r="AM58" s="160"/>
      <c r="AN58" s="910"/>
      <c r="AO58" s="216"/>
      <c r="AP58" s="214"/>
      <c r="AQ58" s="216"/>
      <c r="AR58" s="217"/>
      <c r="AS58" s="160"/>
      <c r="AT58" s="160"/>
      <c r="AU58" s="160"/>
      <c r="AV58" s="160"/>
      <c r="AW58" s="160"/>
      <c r="AX58" s="160"/>
      <c r="AY58" s="329"/>
      <c r="AZ58" s="296"/>
      <c r="BA58" s="213"/>
      <c r="BB58" s="887"/>
      <c r="BC58" s="887"/>
      <c r="BD58" s="886"/>
      <c r="BE58" s="1110"/>
      <c r="BF58" s="1124"/>
      <c r="BG58" s="570"/>
      <c r="BH58"/>
      <c r="BI58" s="583"/>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row>
    <row r="59" spans="1:217" s="149" customFormat="1">
      <c r="A59" s="289"/>
      <c r="B59" s="86"/>
      <c r="C59" s="28"/>
      <c r="D59" s="164"/>
      <c r="E59" s="29"/>
      <c r="F59" s="29"/>
      <c r="G59" s="263"/>
      <c r="H59" s="8"/>
      <c r="I59" s="32"/>
      <c r="J59" s="8"/>
      <c r="K59" s="7"/>
      <c r="L59" s="333"/>
      <c r="M59" s="38"/>
      <c r="N59" s="30"/>
      <c r="O59" s="29"/>
      <c r="P59" s="29"/>
      <c r="Q59" s="29"/>
      <c r="R59" s="29"/>
      <c r="S59" s="470"/>
      <c r="T59" s="32"/>
      <c r="U59" s="1016"/>
      <c r="V59" s="79"/>
      <c r="W59" s="80"/>
      <c r="X59" s="1016"/>
      <c r="Y59" s="298"/>
      <c r="Z59" s="433"/>
      <c r="AA59" s="467"/>
      <c r="AB59" s="470"/>
      <c r="AC59" s="32"/>
      <c r="AD59" s="79"/>
      <c r="AE59" s="80"/>
      <c r="AF59" s="1052"/>
      <c r="AG59" s="1041"/>
      <c r="AH59" s="522"/>
      <c r="AI59" s="1001"/>
      <c r="AJ59" s="471"/>
      <c r="AK59" s="584"/>
      <c r="AL59" s="471"/>
      <c r="AM59" s="9"/>
      <c r="AN59" s="180"/>
      <c r="AO59" s="34"/>
      <c r="AP59" s="31"/>
      <c r="AQ59" s="30"/>
      <c r="AR59" s="471"/>
      <c r="AS59" s="43"/>
      <c r="AT59" s="29"/>
      <c r="AU59" s="29"/>
      <c r="AV59" s="29"/>
      <c r="AW59" s="29"/>
      <c r="AX59" s="29"/>
      <c r="AY59" s="41"/>
      <c r="AZ59" s="29"/>
      <c r="BA59" s="470"/>
      <c r="BB59" s="419"/>
      <c r="BC59" s="419"/>
      <c r="BD59" s="419"/>
      <c r="BE59" s="41"/>
      <c r="BF59" s="1118"/>
      <c r="BG59" s="572"/>
      <c r="BH59" s="289"/>
      <c r="BI59" s="586"/>
    </row>
    <row r="60" spans="1:217" s="642" customFormat="1">
      <c r="B60" s="627" t="s">
        <v>223</v>
      </c>
      <c r="C60" s="628"/>
      <c r="D60" s="629">
        <f>20.15+215.8</f>
        <v>235.95000000000002</v>
      </c>
      <c r="E60" s="630" t="s">
        <v>109</v>
      </c>
      <c r="F60" s="630" t="s">
        <v>224</v>
      </c>
      <c r="G60" s="631" t="s">
        <v>85</v>
      </c>
      <c r="H60" s="632" t="s">
        <v>10</v>
      </c>
      <c r="I60" s="628" t="s">
        <v>530</v>
      </c>
      <c r="J60" s="632" t="s">
        <v>394</v>
      </c>
      <c r="K60" s="626" t="s">
        <v>115</v>
      </c>
      <c r="L60" s="633">
        <v>15.24</v>
      </c>
      <c r="M60" s="630"/>
      <c r="N60" s="629">
        <f>L60+M60</f>
        <v>15.24</v>
      </c>
      <c r="O60" s="630"/>
      <c r="P60" s="630">
        <f>N60+O60</f>
        <v>15.24</v>
      </c>
      <c r="Q60" s="630" t="s">
        <v>171</v>
      </c>
      <c r="R60" s="630"/>
      <c r="S60" s="1237"/>
      <c r="T60" s="628">
        <v>25</v>
      </c>
      <c r="U60" s="1058">
        <f>T60/'Grondslag bouw &amp; infra'!$B$50</f>
        <v>9.5785440613026823E-2</v>
      </c>
      <c r="V60" s="628">
        <v>15</v>
      </c>
      <c r="W60" s="628">
        <v>9</v>
      </c>
      <c r="X60" s="1058">
        <f>(V60+W60)/'Grondslag bouw &amp; infra'!$B$50</f>
        <v>9.1954022988505746E-2</v>
      </c>
      <c r="Y60" s="636"/>
      <c r="Z60" s="1238"/>
      <c r="AA60" s="637"/>
      <c r="AB60" s="1237">
        <v>0</v>
      </c>
      <c r="AC60" s="628">
        <v>0</v>
      </c>
      <c r="AD60" s="628">
        <v>0</v>
      </c>
      <c r="AE60" s="628">
        <v>0</v>
      </c>
      <c r="AF60" s="1058">
        <f>(AC60+AD60+AE60)/'Grondslag bouw &amp; infra'!$B$50</f>
        <v>0</v>
      </c>
      <c r="AG60" s="636"/>
      <c r="AH60" s="1100"/>
      <c r="AI60" s="1239">
        <v>2.3E-2</v>
      </c>
      <c r="AJ60" s="1240"/>
      <c r="AK60" s="1241"/>
      <c r="AL60" s="1240"/>
      <c r="AM60" s="630">
        <f>$AN$6*AN60</f>
        <v>0</v>
      </c>
      <c r="AN60" s="908"/>
      <c r="AO60" s="629"/>
      <c r="AP60" s="635"/>
      <c r="AQ60" s="629">
        <f>(P60*(AF60+AI60)+P60)</f>
        <v>15.59052</v>
      </c>
      <c r="AR60" s="1240"/>
      <c r="AS60" s="1242"/>
      <c r="AT60" s="630"/>
      <c r="AU60" s="630"/>
      <c r="AV60" s="630">
        <v>0.68</v>
      </c>
      <c r="AW60" s="630">
        <v>1.1000000000000001</v>
      </c>
      <c r="AX60" s="630">
        <v>0.48</v>
      </c>
      <c r="AY60" s="629">
        <f>SUM(AS60:AX60)</f>
        <v>2.2600000000000002</v>
      </c>
      <c r="AZ60" s="630">
        <v>0.25</v>
      </c>
      <c r="BA60" s="1237"/>
      <c r="BB60" s="629">
        <f>677.84</f>
        <v>677.84</v>
      </c>
      <c r="BC60" s="629">
        <f>2606.28/4</f>
        <v>651.57000000000005</v>
      </c>
      <c r="BD60" s="629">
        <f>(BB60-(AY60*5))*(1-1%)</f>
        <v>659.8746000000001</v>
      </c>
      <c r="BE60" s="629">
        <f>BD60</f>
        <v>659.8746000000001</v>
      </c>
      <c r="BF60" s="629">
        <f>BD60</f>
        <v>659.8746000000001</v>
      </c>
      <c r="BG60" s="677"/>
      <c r="BI60" s="643"/>
    </row>
    <row r="61" spans="1:217">
      <c r="B61" s="86"/>
      <c r="C61" s="28"/>
      <c r="D61" s="30"/>
      <c r="E61" s="29"/>
      <c r="F61" s="29"/>
      <c r="G61" s="263"/>
      <c r="H61" s="37"/>
      <c r="I61" s="37"/>
      <c r="J61" s="8"/>
      <c r="K61" s="7"/>
      <c r="L61" s="333"/>
      <c r="M61" s="38"/>
      <c r="N61" s="30"/>
      <c r="O61" s="29"/>
      <c r="P61" s="29"/>
      <c r="Q61" s="29"/>
      <c r="R61" s="9"/>
      <c r="S61" s="76"/>
      <c r="T61" s="8"/>
      <c r="U61" s="1011"/>
      <c r="V61" s="8"/>
      <c r="W61" s="8"/>
      <c r="X61" s="1011"/>
      <c r="Z61" s="35"/>
      <c r="AA61" s="316"/>
      <c r="AB61" s="45"/>
      <c r="AC61" s="37"/>
      <c r="AD61" s="37"/>
      <c r="AE61" s="39"/>
      <c r="AF61" s="1050"/>
      <c r="AG61" s="1047"/>
      <c r="AZ61" s="296"/>
      <c r="BF61" s="1125"/>
      <c r="BG61" s="577"/>
      <c r="BH61" s="289"/>
    </row>
    <row r="62" spans="1:217">
      <c r="A62" s="1269"/>
      <c r="B62" s="85"/>
      <c r="C62" s="40"/>
      <c r="D62" s="165"/>
      <c r="E62" s="115"/>
      <c r="F62" s="115"/>
      <c r="G62" s="264"/>
      <c r="H62" s="158"/>
      <c r="I62" s="118"/>
      <c r="J62" s="117"/>
      <c r="K62" s="12"/>
      <c r="L62" s="327"/>
      <c r="M62" s="204"/>
      <c r="N62" s="41"/>
      <c r="O62" s="115"/>
      <c r="P62" s="115"/>
      <c r="Q62" s="115"/>
      <c r="R62" s="115"/>
      <c r="S62" s="139"/>
      <c r="T62" s="118"/>
      <c r="U62" s="1020"/>
      <c r="V62" s="120"/>
      <c r="W62" s="121"/>
      <c r="X62" s="1020"/>
      <c r="Y62" s="300"/>
      <c r="Z62" s="119"/>
      <c r="AA62" s="318"/>
      <c r="AB62" s="140"/>
      <c r="AC62" s="118"/>
      <c r="AD62" s="120"/>
      <c r="AE62" s="121"/>
      <c r="AF62" s="1061"/>
      <c r="AG62" s="1040"/>
      <c r="AH62" s="1103"/>
      <c r="AI62" s="1004"/>
      <c r="AJ62" s="142"/>
      <c r="AK62" s="999"/>
      <c r="AL62" s="142"/>
      <c r="AM62" s="138"/>
      <c r="AN62" s="913"/>
      <c r="AO62" s="116"/>
      <c r="AP62" s="141"/>
      <c r="AQ62" s="707"/>
      <c r="AR62" s="142"/>
      <c r="AS62" s="306"/>
      <c r="AT62" s="159"/>
      <c r="AU62" s="159"/>
      <c r="AV62" s="138"/>
      <c r="AW62" s="138"/>
      <c r="AX62" s="138"/>
      <c r="AY62" s="330"/>
      <c r="AZ62" s="143"/>
      <c r="BA62" s="140"/>
      <c r="BB62" s="881"/>
      <c r="BC62" s="889"/>
      <c r="BD62" s="888"/>
      <c r="BE62" s="1111"/>
      <c r="BF62" s="1126"/>
      <c r="BG62" s="578"/>
      <c r="BH62" s="289"/>
    </row>
    <row r="63" spans="1:217" s="150" customFormat="1">
      <c r="A63" s="796"/>
      <c r="B63" s="86" t="s">
        <v>155</v>
      </c>
      <c r="C63" s="28"/>
      <c r="D63" s="164">
        <f>298.99+304.75-898+294.26-438.63+1541-1014.88</f>
        <v>87.489999999999895</v>
      </c>
      <c r="E63" s="29" t="s">
        <v>91</v>
      </c>
      <c r="F63" s="29" t="s">
        <v>114</v>
      </c>
      <c r="G63" s="263" t="s">
        <v>122</v>
      </c>
      <c r="H63" s="8" t="s">
        <v>154</v>
      </c>
      <c r="I63" s="32" t="s">
        <v>194</v>
      </c>
      <c r="J63" s="8" t="s">
        <v>239</v>
      </c>
      <c r="K63" s="7" t="s">
        <v>157</v>
      </c>
      <c r="L63" s="333">
        <v>14.71</v>
      </c>
      <c r="M63" s="38">
        <v>0.02</v>
      </c>
      <c r="N63" s="30">
        <f>L63+M63</f>
        <v>14.73</v>
      </c>
      <c r="O63" s="29"/>
      <c r="P63" s="29">
        <f>N63+O63</f>
        <v>14.73</v>
      </c>
      <c r="Q63" s="29"/>
      <c r="R63" s="29"/>
      <c r="S63" s="44"/>
      <c r="T63" s="32">
        <v>25</v>
      </c>
      <c r="U63" s="1052">
        <f>T63/'Grondslag bouw &amp; infra'!$B$50</f>
        <v>9.5785440613026823E-2</v>
      </c>
      <c r="V63" s="79">
        <v>0</v>
      </c>
      <c r="W63" s="80">
        <v>0</v>
      </c>
      <c r="X63" s="1052">
        <f>(V63+W63)/'Grondslag bouw &amp; infra'!$B$50</f>
        <v>0</v>
      </c>
      <c r="Y63" s="298"/>
      <c r="Z63" s="35"/>
      <c r="AA63" s="316"/>
      <c r="AB63" s="44"/>
      <c r="AC63" s="32">
        <v>0</v>
      </c>
      <c r="AD63" s="79">
        <v>0</v>
      </c>
      <c r="AE63" s="80">
        <v>0</v>
      </c>
      <c r="AF63" s="1052">
        <f>(AC63+AD63+AE63)/'Grondslag bouw &amp; infra'!$B$50</f>
        <v>0</v>
      </c>
      <c r="AG63" s="1041"/>
      <c r="AH63" s="522"/>
      <c r="AI63" s="1001"/>
      <c r="AJ63" s="47"/>
      <c r="AK63" s="584"/>
      <c r="AL63" s="47"/>
      <c r="AM63" s="9">
        <f>$AN$6*AN63</f>
        <v>0</v>
      </c>
      <c r="AN63" s="180"/>
      <c r="AO63" s="34"/>
      <c r="AP63" s="31"/>
      <c r="AQ63" s="30"/>
      <c r="AR63" s="47"/>
      <c r="AS63" s="43">
        <f>7.5*1.34</f>
        <v>10.050000000000001</v>
      </c>
      <c r="AT63" s="9"/>
      <c r="AU63" s="9"/>
      <c r="AV63" s="29"/>
      <c r="AW63" s="29">
        <v>1.6</v>
      </c>
      <c r="AX63" s="29"/>
      <c r="AY63" s="958">
        <f>SUM(AS63+AW63)</f>
        <v>11.65</v>
      </c>
      <c r="AZ63" s="143" t="s">
        <v>156</v>
      </c>
      <c r="BA63" s="188"/>
      <c r="BB63" s="419">
        <f>BC63-(5*AY63)</f>
        <v>494.875</v>
      </c>
      <c r="BC63" s="419">
        <f>2212.5/4</f>
        <v>553.125</v>
      </c>
      <c r="BD63" s="916">
        <f>BB63</f>
        <v>494.875</v>
      </c>
      <c r="BE63" s="30">
        <f>BD63</f>
        <v>494.875</v>
      </c>
      <c r="BF63" s="1117">
        <f>BD63</f>
        <v>494.875</v>
      </c>
      <c r="BG63" s="572"/>
      <c r="BH63" s="289"/>
      <c r="BI63" s="586"/>
      <c r="BJ63" s="149"/>
      <c r="BK63" s="149"/>
      <c r="BL63" s="149"/>
      <c r="BM63" s="149"/>
      <c r="BN63" s="149"/>
      <c r="BO63" s="149"/>
      <c r="BP63" s="149"/>
      <c r="BQ63" s="149"/>
      <c r="BR63" s="149"/>
      <c r="BS63" s="149"/>
      <c r="BT63" s="149"/>
      <c r="BU63" s="149"/>
      <c r="BV63" s="149"/>
      <c r="BW63" s="149"/>
      <c r="BX63" s="149"/>
      <c r="BY63" s="149"/>
      <c r="BZ63" s="149"/>
      <c r="CA63" s="149"/>
      <c r="CB63" s="149"/>
      <c r="CC63" s="149"/>
      <c r="CD63" s="149"/>
      <c r="CE63" s="149"/>
      <c r="CF63" s="149"/>
      <c r="CG63" s="149"/>
      <c r="CH63" s="149"/>
      <c r="CI63" s="149"/>
      <c r="CJ63" s="149"/>
      <c r="CK63" s="149"/>
      <c r="CL63" s="149"/>
      <c r="CM63" s="149"/>
      <c r="CN63" s="149"/>
      <c r="CO63" s="149"/>
      <c r="CP63" s="149"/>
      <c r="CQ63" s="149"/>
      <c r="CR63" s="149"/>
      <c r="CS63" s="149"/>
      <c r="CT63" s="149"/>
      <c r="CU63" s="149"/>
      <c r="CV63" s="149"/>
      <c r="CW63" s="149"/>
      <c r="CX63" s="149"/>
      <c r="CY63" s="149"/>
      <c r="CZ63" s="149"/>
      <c r="DA63" s="149"/>
      <c r="DB63" s="149"/>
      <c r="DC63" s="149"/>
      <c r="DD63" s="149"/>
      <c r="DE63" s="149"/>
      <c r="DF63" s="149"/>
      <c r="DG63" s="149"/>
      <c r="DH63" s="149"/>
      <c r="DI63" s="149"/>
      <c r="DJ63" s="149"/>
      <c r="DK63" s="149"/>
      <c r="DL63" s="149"/>
      <c r="DM63" s="149"/>
      <c r="DN63" s="149"/>
      <c r="DO63" s="149"/>
      <c r="DP63" s="149"/>
      <c r="DQ63" s="149"/>
      <c r="DR63" s="149"/>
      <c r="DS63" s="149"/>
      <c r="DT63" s="149"/>
      <c r="DU63" s="149"/>
      <c r="DV63" s="149"/>
      <c r="DW63" s="149"/>
      <c r="DX63" s="149"/>
      <c r="DY63" s="149"/>
      <c r="DZ63" s="149"/>
      <c r="EA63" s="149"/>
      <c r="EB63" s="149"/>
      <c r="EC63" s="149"/>
      <c r="ED63" s="149"/>
      <c r="EE63" s="149"/>
      <c r="EF63" s="149"/>
      <c r="EG63" s="149"/>
      <c r="EH63" s="149"/>
      <c r="EI63" s="149"/>
      <c r="EJ63" s="149"/>
      <c r="EK63" s="149"/>
      <c r="EL63" s="149"/>
      <c r="EM63" s="149"/>
      <c r="EN63" s="149"/>
      <c r="EO63" s="149"/>
      <c r="EP63" s="149"/>
      <c r="EQ63" s="149"/>
      <c r="ER63" s="149"/>
      <c r="ES63" s="149"/>
      <c r="ET63" s="149"/>
      <c r="EU63" s="149"/>
      <c r="EV63" s="149"/>
      <c r="EW63" s="149"/>
      <c r="EX63" s="149"/>
      <c r="EY63" s="149"/>
      <c r="EZ63" s="149"/>
      <c r="FA63" s="149"/>
      <c r="FB63" s="149"/>
      <c r="FC63" s="149"/>
      <c r="FD63" s="149"/>
      <c r="FE63" s="149"/>
      <c r="FF63" s="149"/>
      <c r="FG63" s="149"/>
      <c r="FH63" s="149"/>
      <c r="FI63" s="149"/>
      <c r="FJ63" s="149"/>
      <c r="FK63" s="149"/>
      <c r="FL63" s="149"/>
      <c r="FM63" s="149"/>
      <c r="FN63" s="149"/>
      <c r="FO63" s="149"/>
      <c r="FP63" s="149"/>
      <c r="FQ63" s="149"/>
      <c r="FR63" s="149"/>
      <c r="FS63" s="149"/>
      <c r="FT63" s="149"/>
      <c r="FU63" s="149"/>
      <c r="FV63" s="149"/>
      <c r="FW63" s="149"/>
      <c r="FX63" s="149"/>
      <c r="FY63" s="149"/>
      <c r="FZ63" s="149"/>
      <c r="GA63" s="149"/>
      <c r="GB63" s="149"/>
      <c r="GC63" s="149"/>
      <c r="GD63" s="149"/>
      <c r="GE63" s="149"/>
      <c r="GF63" s="149"/>
      <c r="GG63" s="149"/>
      <c r="GH63" s="149"/>
      <c r="GI63" s="149"/>
      <c r="GJ63" s="149"/>
      <c r="GK63" s="149"/>
      <c r="GL63" s="149"/>
      <c r="GM63" s="149"/>
      <c r="GN63" s="149"/>
      <c r="GO63" s="149"/>
      <c r="GP63" s="149"/>
      <c r="GQ63" s="149"/>
      <c r="GR63" s="149"/>
      <c r="GS63" s="149"/>
      <c r="GT63" s="149"/>
      <c r="GU63" s="149"/>
      <c r="GV63" s="149"/>
      <c r="GW63" s="149"/>
      <c r="GX63" s="149"/>
      <c r="GY63" s="149"/>
      <c r="GZ63" s="149"/>
      <c r="HA63" s="149"/>
      <c r="HB63" s="149"/>
      <c r="HC63" s="149"/>
      <c r="HD63" s="149"/>
      <c r="HE63" s="149"/>
      <c r="HF63" s="149"/>
      <c r="HG63" s="149"/>
      <c r="HH63" s="149"/>
      <c r="HI63" s="149"/>
    </row>
    <row r="64" spans="1:217">
      <c r="B64" s="207"/>
      <c r="C64" s="137"/>
      <c r="D64" s="163"/>
      <c r="E64" s="29"/>
      <c r="F64" s="168"/>
      <c r="G64" s="263"/>
      <c r="H64" s="37"/>
      <c r="I64" s="37"/>
      <c r="J64" s="8"/>
      <c r="K64" s="7"/>
      <c r="L64" s="861"/>
      <c r="M64" s="38"/>
      <c r="N64" s="29"/>
      <c r="O64" s="9"/>
      <c r="P64" s="9"/>
      <c r="Q64" s="9"/>
      <c r="R64" s="9"/>
      <c r="S64" s="76"/>
      <c r="T64" s="8"/>
      <c r="U64" s="1011"/>
      <c r="V64" s="8"/>
      <c r="W64" s="8"/>
      <c r="X64" s="1011"/>
      <c r="Z64" s="35"/>
      <c r="AA64" s="316"/>
      <c r="AB64" s="45"/>
      <c r="AC64" s="37"/>
      <c r="AD64" s="37"/>
      <c r="AE64" s="25"/>
      <c r="AF64" s="1050"/>
      <c r="AG64" s="1039"/>
      <c r="AZ64" s="143"/>
      <c r="BB64" s="887"/>
      <c r="BC64" s="887"/>
      <c r="BD64" s="886"/>
      <c r="BE64" s="1110"/>
      <c r="BF64" s="1121"/>
      <c r="BG64" s="577"/>
      <c r="BH64" s="289"/>
    </row>
    <row r="65" spans="1:217" s="175" customFormat="1" ht="14.25" customHeight="1">
      <c r="A65" s="1269"/>
      <c r="B65" s="86"/>
      <c r="C65" s="28"/>
      <c r="D65" s="337"/>
      <c r="E65" s="186"/>
      <c r="F65" s="284"/>
      <c r="G65" s="476"/>
      <c r="H65" s="477"/>
      <c r="I65" s="475"/>
      <c r="J65" s="477"/>
      <c r="K65" s="604"/>
      <c r="L65" s="516"/>
      <c r="M65" s="186"/>
      <c r="N65" s="362"/>
      <c r="O65" s="186"/>
      <c r="P65" s="186"/>
      <c r="Q65" s="186"/>
      <c r="R65" s="186"/>
      <c r="S65" s="478"/>
      <c r="T65" s="475"/>
      <c r="U65" s="1025"/>
      <c r="V65" s="475"/>
      <c r="W65" s="475"/>
      <c r="X65" s="1035"/>
      <c r="Y65" s="517"/>
      <c r="Z65" s="525"/>
      <c r="AA65" s="526"/>
      <c r="AB65" s="478"/>
      <c r="AC65" s="475"/>
      <c r="AD65" s="475"/>
      <c r="AE65" s="475"/>
      <c r="AF65" s="1062"/>
      <c r="AG65" s="517"/>
      <c r="AH65" s="1104"/>
      <c r="AI65" s="1004"/>
      <c r="AJ65" s="480"/>
      <c r="AK65" s="999"/>
      <c r="AL65" s="480"/>
      <c r="AM65" s="186"/>
      <c r="AN65" s="914"/>
      <c r="AO65" s="362"/>
      <c r="AP65" s="479"/>
      <c r="AQ65" s="717"/>
      <c r="AR65" s="480"/>
      <c r="AS65" s="518"/>
      <c r="AT65" s="186"/>
      <c r="AU65" s="186"/>
      <c r="AV65" s="186"/>
      <c r="AW65" s="186"/>
      <c r="AX65" s="186"/>
      <c r="AY65" s="362"/>
      <c r="AZ65" s="477"/>
      <c r="BA65" s="478"/>
      <c r="BB65" s="419"/>
      <c r="BC65" s="419"/>
      <c r="BD65" s="419"/>
      <c r="BE65" s="41"/>
      <c r="BF65" s="1117"/>
      <c r="BG65" s="580"/>
      <c r="BH65" s="289"/>
      <c r="BI65" s="583"/>
    </row>
    <row r="66" spans="1:217">
      <c r="B66" s="86"/>
      <c r="C66" s="28"/>
      <c r="D66" s="164"/>
      <c r="E66" s="29"/>
      <c r="F66" s="29"/>
      <c r="G66" s="263"/>
      <c r="H66" s="143"/>
      <c r="I66" s="32"/>
      <c r="J66" s="8"/>
      <c r="K66" s="7"/>
      <c r="L66" s="333"/>
      <c r="M66" s="38"/>
      <c r="N66" s="30"/>
      <c r="O66" s="9"/>
      <c r="P66" s="29"/>
      <c r="Q66" s="9"/>
      <c r="R66" s="9"/>
      <c r="S66" s="76"/>
      <c r="T66" s="32"/>
      <c r="U66" s="1016"/>
      <c r="V66" s="79"/>
      <c r="W66" s="80"/>
      <c r="X66" s="1016"/>
      <c r="Z66" s="35"/>
      <c r="AA66" s="316"/>
      <c r="AB66" s="45"/>
      <c r="AC66" s="32"/>
      <c r="AD66" s="79"/>
      <c r="AE66" s="80"/>
      <c r="AF66" s="1052"/>
      <c r="AG66" s="1041"/>
      <c r="AH66" s="522"/>
      <c r="AQ66" s="30"/>
      <c r="AY66" s="30"/>
      <c r="AZ66" s="143"/>
      <c r="BB66" s="419"/>
      <c r="BC66" s="419"/>
      <c r="BD66" s="419"/>
      <c r="BE66" s="30"/>
      <c r="BF66" s="1117"/>
      <c r="BG66" s="568"/>
      <c r="BH66" s="289"/>
    </row>
    <row r="67" spans="1:217" s="4" customFormat="1">
      <c r="A67" s="1185"/>
      <c r="B67" s="207"/>
      <c r="C67" s="137"/>
      <c r="D67" s="163"/>
      <c r="E67" s="168"/>
      <c r="F67" s="168"/>
      <c r="G67" s="265"/>
      <c r="H67" s="208"/>
      <c r="I67" s="208"/>
      <c r="J67" s="209"/>
      <c r="K67" s="210"/>
      <c r="L67" s="326"/>
      <c r="M67" s="218"/>
      <c r="N67" s="168"/>
      <c r="O67" s="160"/>
      <c r="P67" s="160"/>
      <c r="Q67" s="160"/>
      <c r="R67" s="160"/>
      <c r="S67" s="211"/>
      <c r="T67" s="209"/>
      <c r="U67" s="1013"/>
      <c r="V67" s="209"/>
      <c r="W67" s="209"/>
      <c r="X67" s="1013"/>
      <c r="Y67" s="299"/>
      <c r="Z67" s="274"/>
      <c r="AA67" s="317"/>
      <c r="AB67" s="213"/>
      <c r="AC67" s="208"/>
      <c r="AD67" s="208"/>
      <c r="AE67" s="424"/>
      <c r="AF67" s="1051"/>
      <c r="AG67" s="1046"/>
      <c r="AH67" s="216"/>
      <c r="AI67" s="1002"/>
      <c r="AJ67" s="217"/>
      <c r="AK67" s="585"/>
      <c r="AL67" s="217"/>
      <c r="AM67" s="160"/>
      <c r="AN67" s="910"/>
      <c r="AO67" s="216"/>
      <c r="AP67" s="214"/>
      <c r="AQ67" s="216"/>
      <c r="AR67" s="217"/>
      <c r="AS67" s="328"/>
      <c r="AT67" s="160"/>
      <c r="AU67" s="160"/>
      <c r="AV67" s="160"/>
      <c r="AW67" s="160"/>
      <c r="AX67" s="160"/>
      <c r="AY67" s="329"/>
      <c r="AZ67" s="296"/>
      <c r="BA67" s="213"/>
      <c r="BB67" s="887"/>
      <c r="BC67" s="887"/>
      <c r="BD67" s="886"/>
      <c r="BE67" s="1110"/>
      <c r="BF67" s="1121"/>
      <c r="BG67" s="577"/>
      <c r="BH67" s="289"/>
      <c r="BI67" s="583"/>
      <c r="BJ67"/>
      <c r="BK67"/>
      <c r="BL67"/>
      <c r="BM67"/>
      <c r="BN67"/>
      <c r="BO67"/>
      <c r="BP67"/>
      <c r="BQ67"/>
      <c r="BR67"/>
      <c r="BS67"/>
      <c r="BT67"/>
      <c r="BU67"/>
      <c r="BV67"/>
      <c r="BW67"/>
      <c r="BX67"/>
      <c r="BY67"/>
      <c r="BZ67"/>
      <c r="CA67"/>
      <c r="CB67"/>
      <c r="CC67"/>
      <c r="CD67"/>
      <c r="CE67"/>
      <c r="CF67"/>
      <c r="CG67"/>
      <c r="CH67"/>
      <c r="CI67"/>
      <c r="CJ67"/>
      <c r="CK67"/>
      <c r="CL67"/>
    </row>
    <row r="68" spans="1:217">
      <c r="B68" s="86"/>
      <c r="C68" s="28"/>
      <c r="D68" s="164"/>
      <c r="E68" s="29"/>
      <c r="F68" s="29"/>
      <c r="G68" s="263"/>
      <c r="H68" s="143"/>
      <c r="I68" s="32"/>
      <c r="J68" s="8"/>
      <c r="K68" s="7"/>
      <c r="L68" s="333"/>
      <c r="M68" s="38"/>
      <c r="N68" s="30"/>
      <c r="O68" s="29"/>
      <c r="P68" s="29"/>
      <c r="Q68" s="29"/>
      <c r="R68" s="9"/>
      <c r="S68" s="76"/>
      <c r="T68" s="32"/>
      <c r="U68" s="1016"/>
      <c r="V68" s="79"/>
      <c r="W68" s="80"/>
      <c r="X68" s="1034"/>
      <c r="Z68" s="35"/>
      <c r="AA68" s="316"/>
      <c r="AB68" s="45"/>
      <c r="AC68" s="32"/>
      <c r="AD68" s="79"/>
      <c r="AE68" s="80"/>
      <c r="AF68" s="1052"/>
      <c r="AG68" s="1041"/>
      <c r="AH68" s="522"/>
      <c r="AO68" s="34"/>
      <c r="AQ68" s="706"/>
      <c r="AV68" s="29"/>
      <c r="AW68" s="29"/>
      <c r="AX68" s="29"/>
      <c r="AY68" s="30"/>
      <c r="AZ68" s="143"/>
      <c r="BB68" s="419"/>
      <c r="BC68" s="419"/>
      <c r="BD68" s="883"/>
      <c r="BE68" s="341"/>
      <c r="BF68" s="1117"/>
      <c r="BG68" s="568"/>
      <c r="BH68" s="289"/>
    </row>
    <row r="69" spans="1:217" s="642" customFormat="1">
      <c r="B69" s="627"/>
      <c r="C69" s="628"/>
      <c r="D69" s="1273">
        <f>(163-150)+(144-135)-22</f>
        <v>0</v>
      </c>
      <c r="E69" s="630"/>
      <c r="F69" s="630"/>
      <c r="G69" s="631"/>
      <c r="H69" s="632"/>
      <c r="I69" s="628"/>
      <c r="J69" s="632"/>
      <c r="K69" s="626"/>
      <c r="L69" s="633"/>
      <c r="M69" s="630"/>
      <c r="N69" s="630"/>
      <c r="O69" s="630"/>
      <c r="P69" s="630"/>
      <c r="Q69" s="630"/>
      <c r="R69" s="630"/>
      <c r="S69" s="1237"/>
      <c r="T69" s="632"/>
      <c r="U69" s="1023"/>
      <c r="V69" s="632"/>
      <c r="W69" s="632"/>
      <c r="X69" s="1023"/>
      <c r="Y69" s="636"/>
      <c r="Z69" s="1238"/>
      <c r="AA69" s="637"/>
      <c r="AB69" s="1237"/>
      <c r="AC69" s="632"/>
      <c r="AD69" s="632"/>
      <c r="AE69" s="1274"/>
      <c r="AF69" s="1058"/>
      <c r="AG69" s="1275"/>
      <c r="AH69" s="1100"/>
      <c r="AI69" s="1239"/>
      <c r="AJ69" s="1240"/>
      <c r="AK69" s="630"/>
      <c r="AL69" s="1240"/>
      <c r="AM69" s="630"/>
      <c r="AN69" s="908"/>
      <c r="AO69" s="1100"/>
      <c r="AP69" s="635"/>
      <c r="AQ69" s="1100"/>
      <c r="AR69" s="1240"/>
      <c r="AS69" s="1242"/>
      <c r="AT69" s="630"/>
      <c r="AU69" s="630"/>
      <c r="AV69" s="630"/>
      <c r="AW69" s="630"/>
      <c r="AX69" s="630"/>
      <c r="AY69" s="629"/>
      <c r="AZ69" s="632"/>
      <c r="BA69" s="1237"/>
      <c r="BB69" s="630"/>
      <c r="BC69" s="630"/>
      <c r="BD69" s="1276"/>
      <c r="BE69" s="1276"/>
      <c r="BF69" s="630"/>
      <c r="BG69" s="1272"/>
      <c r="BI69" s="643"/>
    </row>
    <row r="70" spans="1:217" s="1277" customFormat="1">
      <c r="B70" s="1278" t="s">
        <v>132</v>
      </c>
      <c r="C70" s="1279"/>
      <c r="D70" s="1280">
        <f>1185-102.84-612.6-18.59-326.6+819-943.37</f>
        <v>0</v>
      </c>
      <c r="E70" s="1281" t="s">
        <v>165</v>
      </c>
      <c r="F70" s="1281" t="s">
        <v>114</v>
      </c>
      <c r="G70" s="1279" t="s">
        <v>122</v>
      </c>
      <c r="H70" s="1282" t="s">
        <v>32</v>
      </c>
      <c r="I70" s="1279" t="s">
        <v>552</v>
      </c>
      <c r="J70" s="1282" t="s">
        <v>144</v>
      </c>
      <c r="K70" s="1283" t="s">
        <v>133</v>
      </c>
      <c r="L70" s="1281">
        <v>18.93</v>
      </c>
      <c r="M70" s="1281"/>
      <c r="N70" s="1280">
        <f>L70+M70</f>
        <v>18.93</v>
      </c>
      <c r="O70" s="1281"/>
      <c r="P70" s="1281">
        <f>N70+O70</f>
        <v>18.93</v>
      </c>
      <c r="Q70" s="1281"/>
      <c r="R70" s="1281"/>
      <c r="S70" s="1284"/>
      <c r="T70" s="1279">
        <v>20</v>
      </c>
      <c r="U70" s="1285">
        <f>T70/'Grondslag bouw &amp; infra'!$B$50</f>
        <v>7.662835249042145E-2</v>
      </c>
      <c r="V70" s="1279">
        <v>0</v>
      </c>
      <c r="W70" s="1279">
        <v>0</v>
      </c>
      <c r="X70" s="1286">
        <f>(V70+W70)/'Grondslag bouw &amp; infra'!$B$50</f>
        <v>0</v>
      </c>
      <c r="Y70" s="1287"/>
      <c r="Z70" s="1288"/>
      <c r="AA70" s="1289"/>
      <c r="AB70" s="1284"/>
      <c r="AC70" s="1279">
        <v>5</v>
      </c>
      <c r="AD70" s="1279">
        <v>0</v>
      </c>
      <c r="AE70" s="1279">
        <v>0</v>
      </c>
      <c r="AF70" s="1286">
        <f>(AC70+AD70+AE70)/'Grondslag bouw &amp; infra'!$B$50</f>
        <v>1.9157088122605363E-2</v>
      </c>
      <c r="AG70" s="1287"/>
      <c r="AH70" s="1290"/>
      <c r="AI70" s="1291"/>
      <c r="AJ70" s="1292"/>
      <c r="AK70" s="1281"/>
      <c r="AL70" s="1292"/>
      <c r="AM70" s="1281">
        <f>$AN$6*AN70</f>
        <v>0</v>
      </c>
      <c r="AN70" s="1293"/>
      <c r="AO70" s="1290"/>
      <c r="AP70" s="1294"/>
      <c r="AQ70" s="1280"/>
      <c r="AR70" s="1292"/>
      <c r="AS70" s="1295"/>
      <c r="AT70" s="1281"/>
      <c r="AU70" s="1281"/>
      <c r="AV70" s="1281"/>
      <c r="AW70" s="1281">
        <v>1.6</v>
      </c>
      <c r="AX70" s="1281"/>
      <c r="AY70" s="1280">
        <f>SUM(AS70:AX70)</f>
        <v>1.6</v>
      </c>
      <c r="AZ70" s="1282" t="s">
        <v>134</v>
      </c>
      <c r="BA70" s="1284"/>
      <c r="BB70" s="1280">
        <f>660+10.4+15.2+26.52+8.1</f>
        <v>720.22</v>
      </c>
      <c r="BC70" s="1296"/>
      <c r="BD70" s="1280">
        <f>(BB70-(AY70*5))*(1-1%)</f>
        <v>705.09780000000001</v>
      </c>
      <c r="BE70" s="1296"/>
      <c r="BF70" s="1297">
        <f>BD70</f>
        <v>705.09780000000001</v>
      </c>
      <c r="BG70" s="1272"/>
      <c r="BH70" s="642"/>
      <c r="BI70" s="1267"/>
      <c r="BJ70" s="642"/>
      <c r="BK70" s="642"/>
      <c r="BL70" s="642"/>
      <c r="BM70" s="642"/>
      <c r="BN70" s="642"/>
      <c r="BO70" s="642"/>
      <c r="BP70" s="642"/>
      <c r="BQ70" s="642"/>
      <c r="BR70" s="642"/>
      <c r="BS70" s="642"/>
      <c r="BT70" s="642"/>
      <c r="BU70" s="642"/>
      <c r="BV70" s="642"/>
      <c r="BW70" s="642"/>
      <c r="BX70" s="642"/>
      <c r="BY70" s="642"/>
      <c r="BZ70" s="642"/>
      <c r="CA70" s="642"/>
      <c r="CB70" s="642"/>
      <c r="CC70" s="642"/>
      <c r="CD70" s="642"/>
      <c r="CE70" s="642"/>
      <c r="CF70" s="642"/>
      <c r="CG70" s="642"/>
    </row>
    <row r="71" spans="1:217" s="150" customFormat="1">
      <c r="A71" s="796"/>
      <c r="B71" s="86"/>
      <c r="C71" s="431"/>
      <c r="D71" s="146"/>
      <c r="E71" s="29"/>
      <c r="F71" s="29"/>
      <c r="G71" s="263"/>
      <c r="H71" s="143"/>
      <c r="I71" s="32"/>
      <c r="J71" s="8"/>
      <c r="K71" s="7"/>
      <c r="L71" s="333"/>
      <c r="M71" s="38"/>
      <c r="N71" s="30"/>
      <c r="O71" s="29"/>
      <c r="P71" s="29"/>
      <c r="Q71" s="29"/>
      <c r="R71" s="29"/>
      <c r="S71" s="920"/>
      <c r="T71" s="32"/>
      <c r="U71" s="1016"/>
      <c r="V71" s="79"/>
      <c r="W71" s="80"/>
      <c r="X71" s="1016"/>
      <c r="Y71" s="466"/>
      <c r="Z71" s="433"/>
      <c r="AA71" s="467"/>
      <c r="AB71" s="920"/>
      <c r="AC71" s="32"/>
      <c r="AD71" s="79"/>
      <c r="AE71" s="80"/>
      <c r="AF71" s="1052"/>
      <c r="AG71" s="1041"/>
      <c r="AH71" s="522"/>
      <c r="AI71" s="1001"/>
      <c r="AJ71" s="921"/>
      <c r="AK71" s="584"/>
      <c r="AL71" s="921"/>
      <c r="AM71" s="29"/>
      <c r="AN71" s="915"/>
      <c r="AO71" s="146"/>
      <c r="AP71" s="434"/>
      <c r="AQ71" s="30"/>
      <c r="AR71" s="921"/>
      <c r="AS71" s="395"/>
      <c r="AT71" s="29"/>
      <c r="AU71" s="29"/>
      <c r="AV71" s="29"/>
      <c r="AW71" s="29"/>
      <c r="AX71" s="29"/>
      <c r="AY71" s="30"/>
      <c r="AZ71" s="143"/>
      <c r="BA71" s="922"/>
      <c r="BB71" s="419"/>
      <c r="BC71" s="419"/>
      <c r="BD71" s="419"/>
      <c r="BE71" s="30"/>
      <c r="BF71" s="1117"/>
      <c r="BG71" s="569"/>
      <c r="BH71" s="289"/>
      <c r="BI71" s="583"/>
      <c r="BJ71" s="149"/>
      <c r="BK71" s="149"/>
      <c r="BL71" s="149"/>
      <c r="BM71" s="149"/>
      <c r="BN71" s="149"/>
      <c r="BO71" s="149"/>
      <c r="BP71" s="149"/>
      <c r="BQ71" s="149"/>
      <c r="BR71" s="149"/>
      <c r="BS71" s="149"/>
      <c r="BT71" s="149"/>
      <c r="BU71" s="149"/>
      <c r="BV71" s="149"/>
      <c r="BW71" s="149"/>
      <c r="BX71" s="149"/>
      <c r="BY71" s="149"/>
      <c r="BZ71" s="149"/>
      <c r="CA71" s="149"/>
      <c r="CB71" s="149"/>
      <c r="CC71" s="149"/>
      <c r="CD71" s="149"/>
      <c r="CE71" s="149"/>
      <c r="CF71" s="149"/>
      <c r="CG71" s="149"/>
      <c r="CH71" s="379"/>
      <c r="CI71" s="379"/>
      <c r="CJ71" s="379"/>
      <c r="CK71" s="379"/>
      <c r="CL71" s="379"/>
      <c r="CM71" s="379"/>
      <c r="CN71" s="379"/>
      <c r="CO71" s="379"/>
      <c r="CP71" s="379"/>
      <c r="CQ71" s="379"/>
      <c r="CR71" s="379"/>
      <c r="CS71" s="379"/>
      <c r="CT71" s="379"/>
      <c r="CU71" s="379"/>
      <c r="CV71" s="379"/>
      <c r="CW71" s="379"/>
      <c r="CX71" s="379"/>
      <c r="CY71" s="379"/>
      <c r="CZ71" s="379"/>
      <c r="DA71" s="379"/>
      <c r="DB71" s="379"/>
      <c r="DC71" s="379"/>
      <c r="DD71" s="379"/>
      <c r="DE71" s="379"/>
      <c r="DF71" s="379"/>
      <c r="DG71" s="379"/>
      <c r="DH71" s="379"/>
      <c r="DI71" s="379"/>
      <c r="DJ71" s="379"/>
      <c r="DK71" s="379"/>
      <c r="DL71" s="379"/>
      <c r="DM71" s="379"/>
      <c r="DN71" s="379"/>
      <c r="DO71" s="379"/>
      <c r="DP71" s="379"/>
      <c r="DQ71" s="379"/>
      <c r="DR71" s="379"/>
      <c r="DS71" s="379"/>
      <c r="DT71" s="379"/>
      <c r="DU71" s="379"/>
      <c r="DV71" s="379"/>
      <c r="DW71" s="379"/>
      <c r="DX71" s="379"/>
      <c r="DY71" s="379"/>
      <c r="DZ71" s="379"/>
      <c r="EA71" s="379"/>
      <c r="EB71" s="379"/>
      <c r="EC71" s="379"/>
      <c r="ED71" s="379"/>
      <c r="EE71" s="379"/>
      <c r="EF71" s="379"/>
      <c r="EG71" s="379"/>
      <c r="EH71" s="379"/>
      <c r="EI71" s="379"/>
      <c r="EJ71" s="379"/>
      <c r="EK71" s="379"/>
      <c r="EL71" s="379"/>
      <c r="EM71" s="379"/>
      <c r="EN71" s="379"/>
      <c r="EO71" s="379"/>
      <c r="EP71" s="379"/>
      <c r="EQ71" s="379"/>
      <c r="ER71" s="379"/>
      <c r="ES71" s="379"/>
      <c r="ET71" s="379"/>
      <c r="EU71" s="379"/>
      <c r="EV71" s="379"/>
      <c r="EW71" s="379"/>
      <c r="EX71" s="379"/>
      <c r="EY71" s="379"/>
      <c r="EZ71" s="379"/>
      <c r="FA71" s="379"/>
      <c r="FB71" s="379"/>
      <c r="FC71" s="379"/>
      <c r="FD71" s="379"/>
      <c r="FE71" s="379"/>
      <c r="FF71" s="379"/>
      <c r="FG71" s="379"/>
      <c r="FH71" s="379"/>
      <c r="FI71" s="379"/>
      <c r="FJ71" s="379"/>
      <c r="FK71" s="379"/>
      <c r="FL71" s="379"/>
      <c r="FM71" s="379"/>
      <c r="FN71" s="379"/>
      <c r="FO71" s="379"/>
      <c r="FP71" s="379"/>
      <c r="FQ71" s="379"/>
      <c r="FR71" s="379"/>
      <c r="FS71" s="379"/>
      <c r="FT71" s="379"/>
      <c r="FU71" s="379"/>
      <c r="FV71" s="379"/>
      <c r="FW71" s="379"/>
      <c r="FX71" s="379"/>
      <c r="FY71" s="379"/>
      <c r="FZ71" s="379"/>
      <c r="GA71" s="379"/>
      <c r="GB71" s="379"/>
      <c r="GC71" s="379"/>
      <c r="GD71" s="379"/>
      <c r="GE71" s="379"/>
      <c r="GF71" s="379"/>
      <c r="GG71" s="379"/>
      <c r="GH71" s="379"/>
      <c r="GI71" s="379"/>
      <c r="GJ71" s="379"/>
      <c r="GK71" s="379"/>
      <c r="GL71" s="379"/>
      <c r="GM71" s="379"/>
      <c r="GN71" s="379"/>
      <c r="GO71" s="379"/>
      <c r="GP71" s="379"/>
      <c r="GQ71" s="379"/>
      <c r="GR71" s="379"/>
      <c r="GS71" s="379"/>
      <c r="GT71" s="379"/>
      <c r="GU71" s="379"/>
      <c r="GV71" s="379"/>
      <c r="GW71" s="379"/>
      <c r="GX71" s="379"/>
      <c r="GY71" s="379"/>
      <c r="GZ71" s="379"/>
      <c r="HA71" s="379"/>
      <c r="HB71" s="379"/>
      <c r="HC71" s="379"/>
      <c r="HD71" s="379"/>
      <c r="HE71" s="379"/>
      <c r="HF71" s="379"/>
      <c r="HG71" s="379"/>
      <c r="HH71" s="379"/>
      <c r="HI71" s="379"/>
    </row>
    <row r="72" spans="1:217" s="149" customFormat="1">
      <c r="A72" s="289"/>
      <c r="B72" s="465"/>
      <c r="C72" s="431"/>
      <c r="D72" s="146"/>
      <c r="E72" s="147"/>
      <c r="F72" s="147"/>
      <c r="G72" s="309"/>
      <c r="H72" s="145"/>
      <c r="I72" s="431"/>
      <c r="J72" s="145"/>
      <c r="K72" s="144"/>
      <c r="L72" s="147"/>
      <c r="M72" s="147"/>
      <c r="N72" s="146"/>
      <c r="O72" s="147"/>
      <c r="P72" s="147"/>
      <c r="Q72" s="147"/>
      <c r="R72" s="147"/>
      <c r="S72" s="470"/>
      <c r="T72" s="431"/>
      <c r="U72" s="1024"/>
      <c r="V72" s="431"/>
      <c r="W72" s="431"/>
      <c r="X72" s="1024"/>
      <c r="Y72" s="466"/>
      <c r="Z72" s="433"/>
      <c r="AA72" s="467"/>
      <c r="AB72" s="470"/>
      <c r="AC72" s="431"/>
      <c r="AD72" s="431"/>
      <c r="AE72" s="431"/>
      <c r="AF72" s="1063"/>
      <c r="AG72" s="466"/>
      <c r="AH72" s="1105"/>
      <c r="AI72" s="1001"/>
      <c r="AJ72" s="471"/>
      <c r="AK72" s="147"/>
      <c r="AL72" s="471"/>
      <c r="AM72" s="147"/>
      <c r="AN72" s="915"/>
      <c r="AO72" s="146"/>
      <c r="AP72" s="434"/>
      <c r="AQ72" s="716"/>
      <c r="AR72" s="471"/>
      <c r="AS72" s="147"/>
      <c r="AT72" s="147"/>
      <c r="AU72" s="147"/>
      <c r="AV72" s="147"/>
      <c r="AW72" s="147"/>
      <c r="AX72" s="147"/>
      <c r="AY72" s="146"/>
      <c r="AZ72" s="145"/>
      <c r="BA72" s="470"/>
      <c r="BB72" s="419"/>
      <c r="BC72" s="419"/>
      <c r="BD72" s="883"/>
      <c r="BE72" s="341"/>
      <c r="BF72" s="1118"/>
      <c r="BG72" s="681"/>
      <c r="BH72" s="246"/>
      <c r="BI72" s="594"/>
    </row>
    <row r="73" spans="1:217" s="4" customFormat="1">
      <c r="A73" s="1185"/>
      <c r="B73" s="207"/>
      <c r="C73" s="137"/>
      <c r="D73" s="163"/>
      <c r="E73" s="168"/>
      <c r="F73" s="168"/>
      <c r="G73" s="265"/>
      <c r="H73" s="208"/>
      <c r="I73" s="208"/>
      <c r="J73" s="209"/>
      <c r="K73" s="210"/>
      <c r="L73" s="326"/>
      <c r="M73" s="218"/>
      <c r="N73" s="168"/>
      <c r="O73" s="160"/>
      <c r="P73" s="160"/>
      <c r="Q73" s="160"/>
      <c r="R73" s="160"/>
      <c r="S73" s="211"/>
      <c r="T73" s="209"/>
      <c r="U73" s="1013"/>
      <c r="V73" s="209"/>
      <c r="W73" s="209"/>
      <c r="X73" s="1013"/>
      <c r="Y73" s="299"/>
      <c r="Z73" s="274"/>
      <c r="AA73" s="317"/>
      <c r="AB73" s="213"/>
      <c r="AC73" s="208"/>
      <c r="AD73" s="208"/>
      <c r="AE73" s="424"/>
      <c r="AF73" s="1051"/>
      <c r="AG73" s="1046"/>
      <c r="AH73" s="216"/>
      <c r="AI73" s="1002"/>
      <c r="AJ73" s="217"/>
      <c r="AK73" s="585"/>
      <c r="AL73" s="217"/>
      <c r="AM73" s="160"/>
      <c r="AN73" s="910"/>
      <c r="AO73" s="216"/>
      <c r="AP73" s="214"/>
      <c r="AQ73" s="216"/>
      <c r="AR73" s="217"/>
      <c r="AS73" s="328"/>
      <c r="AT73" s="160"/>
      <c r="AU73" s="160"/>
      <c r="AV73" s="160"/>
      <c r="AW73" s="160"/>
      <c r="AX73" s="160"/>
      <c r="AY73" s="329"/>
      <c r="AZ73" s="296"/>
      <c r="BA73" s="213"/>
      <c r="BB73" s="887"/>
      <c r="BC73" s="887"/>
      <c r="BD73" s="886"/>
      <c r="BE73" s="1110"/>
      <c r="BF73" s="1124"/>
      <c r="BG73" s="570"/>
      <c r="BH73" s="289"/>
      <c r="BI73" s="583"/>
      <c r="BJ73"/>
      <c r="BK73"/>
      <c r="BL73"/>
      <c r="BM73"/>
      <c r="BN73"/>
      <c r="BO73"/>
      <c r="BP73"/>
      <c r="BQ73"/>
      <c r="BR73"/>
      <c r="BS73"/>
      <c r="BT73"/>
      <c r="BU73"/>
      <c r="BV73"/>
      <c r="BW73"/>
      <c r="BX73"/>
      <c r="BY73"/>
      <c r="BZ73"/>
      <c r="CA73"/>
      <c r="CB73"/>
      <c r="CC73"/>
      <c r="CD73"/>
      <c r="CE73"/>
      <c r="CF73"/>
      <c r="CG73"/>
    </row>
    <row r="74" spans="1:217" s="150" customFormat="1">
      <c r="A74" s="289"/>
      <c r="B74" s="85" t="s">
        <v>166</v>
      </c>
      <c r="C74" s="391"/>
      <c r="D74" s="165">
        <f>162.2</f>
        <v>162.19999999999999</v>
      </c>
      <c r="E74" s="115" t="s">
        <v>91</v>
      </c>
      <c r="F74" s="115" t="s">
        <v>118</v>
      </c>
      <c r="G74" s="264" t="s">
        <v>122</v>
      </c>
      <c r="H74" s="158" t="s">
        <v>11</v>
      </c>
      <c r="I74" s="118" t="s">
        <v>111</v>
      </c>
      <c r="J74" s="8" t="s">
        <v>90</v>
      </c>
      <c r="K74" s="7" t="s">
        <v>112</v>
      </c>
      <c r="L74" s="333">
        <v>18.95</v>
      </c>
      <c r="M74" s="38"/>
      <c r="N74" s="30">
        <f>L74+M74</f>
        <v>18.95</v>
      </c>
      <c r="O74" s="29"/>
      <c r="P74" s="29">
        <f>N74+O74</f>
        <v>18.95</v>
      </c>
      <c r="Q74" s="115" t="s">
        <v>171</v>
      </c>
      <c r="R74" s="29"/>
      <c r="S74" s="537"/>
      <c r="T74" s="118">
        <v>25</v>
      </c>
      <c r="U74" s="1052">
        <f>T74/'Grondslag bouw &amp; infra'!$B$50</f>
        <v>9.5785440613026823E-2</v>
      </c>
      <c r="V74" s="120">
        <v>20</v>
      </c>
      <c r="W74" s="80">
        <v>0</v>
      </c>
      <c r="X74" s="1052">
        <f>(V74+W74)/'Grondslag bouw &amp; infra'!$B$50</f>
        <v>7.662835249042145E-2</v>
      </c>
      <c r="Y74" s="538"/>
      <c r="Z74" s="344"/>
      <c r="AA74" s="345"/>
      <c r="AB74" s="537"/>
      <c r="AC74" s="118">
        <v>0</v>
      </c>
      <c r="AD74" s="120">
        <v>0</v>
      </c>
      <c r="AE74" s="121">
        <v>0</v>
      </c>
      <c r="AF74" s="1085">
        <f>(AC74+AD74+AE74)/'Grondslag bouw &amp; infra'!$B$50</f>
        <v>0</v>
      </c>
      <c r="AG74" s="1040"/>
      <c r="AH74" s="522"/>
      <c r="AI74" s="1001">
        <v>3.6499999999999998E-2</v>
      </c>
      <c r="AJ74" s="539"/>
      <c r="AK74" s="1009"/>
      <c r="AL74" s="539"/>
      <c r="AM74" s="115">
        <v>0</v>
      </c>
      <c r="AN74" s="911"/>
      <c r="AO74" s="422"/>
      <c r="AP74" s="491"/>
      <c r="AQ74" s="30">
        <f>(P74*(AF74+AI74)+P74)</f>
        <v>19.641674999999999</v>
      </c>
      <c r="AR74" s="539"/>
      <c r="AS74" s="540"/>
      <c r="AT74" s="115"/>
      <c r="AU74" s="29"/>
      <c r="AV74" s="29">
        <v>0.68</v>
      </c>
      <c r="AW74" s="29">
        <v>1.1000000000000001</v>
      </c>
      <c r="AX74" s="29">
        <v>0.48</v>
      </c>
      <c r="AY74" s="41">
        <f>SUM(AS74:AX74)</f>
        <v>2.2600000000000002</v>
      </c>
      <c r="AZ74" s="29">
        <v>0.32</v>
      </c>
      <c r="BA74" s="541"/>
      <c r="BB74" s="881">
        <f>600</f>
        <v>600</v>
      </c>
      <c r="BC74" s="881">
        <f>2674.32/4</f>
        <v>668.58</v>
      </c>
      <c r="BD74" s="419">
        <f>(BB74-(AY74*5))*(1-1%)</f>
        <v>582.81299999999999</v>
      </c>
      <c r="BE74" s="30">
        <f>BD74</f>
        <v>582.81299999999999</v>
      </c>
      <c r="BF74" s="1117">
        <f>BD74</f>
        <v>582.81299999999999</v>
      </c>
      <c r="BG74" s="569"/>
      <c r="BH74" s="289"/>
      <c r="BI74" s="583"/>
      <c r="BJ74" s="149"/>
      <c r="BK74" s="149"/>
      <c r="BL74" s="149"/>
      <c r="BM74" s="149"/>
      <c r="BN74" s="149"/>
      <c r="BO74" s="149"/>
      <c r="BP74" s="149"/>
      <c r="BQ74" s="149"/>
      <c r="BR74" s="149"/>
      <c r="BS74" s="149"/>
      <c r="BT74" s="149"/>
      <c r="BU74" s="149"/>
      <c r="BV74" s="149"/>
      <c r="BW74" s="149"/>
      <c r="BX74" s="149"/>
      <c r="BY74" s="149"/>
      <c r="BZ74" s="149"/>
      <c r="CA74" s="149"/>
      <c r="CB74" s="149"/>
      <c r="CC74" s="149"/>
      <c r="CD74" s="149"/>
      <c r="CE74" s="149"/>
      <c r="CF74" s="149"/>
      <c r="CG74" s="149"/>
      <c r="CH74" s="379"/>
      <c r="CI74" s="379"/>
      <c r="CJ74" s="379"/>
      <c r="CK74" s="379"/>
      <c r="CL74" s="379"/>
      <c r="CM74" s="379"/>
      <c r="CN74" s="379"/>
      <c r="CO74" s="379"/>
      <c r="CP74" s="379"/>
      <c r="CQ74" s="379"/>
      <c r="CR74" s="379"/>
      <c r="CS74" s="379"/>
      <c r="CT74" s="379"/>
      <c r="CU74" s="379"/>
      <c r="CV74" s="379"/>
      <c r="CW74" s="379"/>
      <c r="CX74" s="379"/>
      <c r="CY74" s="379"/>
      <c r="CZ74" s="379"/>
      <c r="DA74" s="379"/>
      <c r="DB74" s="379"/>
      <c r="DC74" s="379"/>
      <c r="DD74" s="379"/>
      <c r="DE74" s="379"/>
      <c r="DF74" s="379"/>
      <c r="DG74" s="379"/>
      <c r="DH74" s="379"/>
      <c r="DI74" s="379"/>
      <c r="DJ74" s="379"/>
      <c r="DK74" s="379"/>
      <c r="DL74" s="379"/>
      <c r="DM74" s="379"/>
      <c r="DN74" s="379"/>
      <c r="DO74" s="379"/>
      <c r="DP74" s="379"/>
      <c r="DQ74" s="379"/>
      <c r="DR74" s="379"/>
      <c r="DS74" s="379"/>
      <c r="DT74" s="379"/>
      <c r="DU74" s="379"/>
      <c r="DV74" s="379"/>
      <c r="DW74" s="379"/>
      <c r="DX74" s="379"/>
      <c r="DY74" s="379"/>
      <c r="DZ74" s="379"/>
      <c r="EA74" s="379"/>
      <c r="EB74" s="379"/>
      <c r="EC74" s="379"/>
      <c r="ED74" s="379"/>
      <c r="EE74" s="379"/>
      <c r="EF74" s="379"/>
      <c r="EG74" s="379"/>
      <c r="EH74" s="379"/>
      <c r="EI74" s="379"/>
      <c r="EJ74" s="379"/>
      <c r="EK74" s="379"/>
      <c r="EL74" s="379"/>
      <c r="EM74" s="379"/>
      <c r="EN74" s="379"/>
      <c r="EO74" s="379"/>
      <c r="EP74" s="379"/>
      <c r="EQ74" s="379"/>
      <c r="ER74" s="379"/>
      <c r="ES74" s="379"/>
      <c r="ET74" s="379"/>
      <c r="EU74" s="379"/>
      <c r="EV74" s="379"/>
      <c r="EW74" s="379"/>
      <c r="EX74" s="379"/>
      <c r="EY74" s="379"/>
      <c r="EZ74" s="379"/>
      <c r="FA74" s="379"/>
      <c r="FB74" s="379"/>
      <c r="FC74" s="379"/>
      <c r="FD74" s="379"/>
      <c r="FE74" s="379"/>
      <c r="FF74" s="379"/>
      <c r="FG74" s="379"/>
      <c r="FH74" s="379"/>
      <c r="FI74" s="379"/>
      <c r="FJ74" s="379"/>
      <c r="FK74" s="379"/>
      <c r="FL74" s="379"/>
      <c r="FM74" s="379"/>
      <c r="FN74" s="379"/>
      <c r="FO74" s="379"/>
      <c r="FP74" s="379"/>
      <c r="FQ74" s="379"/>
      <c r="FR74" s="379"/>
      <c r="FS74" s="379"/>
      <c r="FT74" s="379"/>
      <c r="FU74" s="379"/>
      <c r="FV74" s="379"/>
      <c r="FW74" s="379"/>
      <c r="FX74" s="379"/>
      <c r="FY74" s="379"/>
      <c r="FZ74" s="379"/>
      <c r="GA74" s="379"/>
      <c r="GB74" s="379"/>
      <c r="GC74" s="379"/>
      <c r="GD74" s="379"/>
      <c r="GE74" s="379"/>
      <c r="GF74" s="379"/>
      <c r="GG74" s="379"/>
      <c r="GH74" s="379"/>
      <c r="GI74" s="379"/>
      <c r="GJ74" s="379"/>
      <c r="GK74" s="379"/>
      <c r="GL74" s="379"/>
      <c r="GM74" s="379"/>
      <c r="GN74" s="379"/>
      <c r="GO74" s="379"/>
      <c r="GP74" s="379"/>
      <c r="GQ74" s="379"/>
      <c r="GR74" s="379"/>
      <c r="GS74" s="379"/>
      <c r="GT74" s="379"/>
      <c r="GU74" s="379"/>
      <c r="GV74" s="379"/>
      <c r="GW74" s="379"/>
      <c r="GX74" s="379"/>
      <c r="GY74" s="379"/>
      <c r="GZ74" s="379"/>
      <c r="HA74" s="379"/>
      <c r="HB74" s="379"/>
      <c r="HC74" s="379"/>
      <c r="HD74" s="379"/>
      <c r="HE74" s="379"/>
      <c r="HF74" s="379"/>
      <c r="HG74" s="379"/>
      <c r="HH74" s="379"/>
      <c r="HI74" s="379"/>
    </row>
    <row r="75" spans="1:217">
      <c r="B75" s="86"/>
      <c r="C75" s="28"/>
      <c r="D75" s="164"/>
      <c r="E75" s="29"/>
      <c r="F75" s="29"/>
      <c r="G75" s="263"/>
      <c r="H75" s="37"/>
      <c r="I75" s="37"/>
      <c r="J75" s="8"/>
      <c r="K75" s="7"/>
      <c r="L75" s="324"/>
      <c r="M75" s="38"/>
      <c r="N75" s="29"/>
      <c r="O75" s="9"/>
      <c r="P75" s="9"/>
      <c r="Q75" s="9"/>
      <c r="R75" s="9"/>
      <c r="S75" s="76"/>
      <c r="T75" s="8"/>
      <c r="U75" s="1011"/>
      <c r="V75" s="8"/>
      <c r="W75" s="8"/>
      <c r="X75" s="1011"/>
      <c r="Z75" s="35"/>
      <c r="AA75" s="316"/>
      <c r="AB75" s="45"/>
      <c r="AC75" s="37"/>
      <c r="AD75" s="37"/>
      <c r="AE75" s="25"/>
      <c r="AF75" s="1050"/>
      <c r="AG75" s="1039"/>
      <c r="AZ75" s="143"/>
      <c r="BF75" s="1125"/>
      <c r="BG75" s="579"/>
      <c r="BH75" s="289"/>
    </row>
    <row r="76" spans="1:217" s="4" customFormat="1">
      <c r="A76" s="1185"/>
      <c r="B76" s="207"/>
      <c r="C76" s="137"/>
      <c r="D76" s="163"/>
      <c r="E76" s="168"/>
      <c r="F76" s="168"/>
      <c r="G76" s="265"/>
      <c r="H76" s="208"/>
      <c r="I76" s="208"/>
      <c r="J76" s="209"/>
      <c r="K76" s="210"/>
      <c r="L76" s="326"/>
      <c r="M76" s="218"/>
      <c r="N76" s="168"/>
      <c r="O76" s="160"/>
      <c r="P76" s="160"/>
      <c r="Q76" s="160"/>
      <c r="R76" s="160"/>
      <c r="S76" s="211"/>
      <c r="T76" s="209"/>
      <c r="U76" s="1013"/>
      <c r="V76" s="209"/>
      <c r="W76" s="209"/>
      <c r="X76" s="1013"/>
      <c r="Y76" s="299"/>
      <c r="Z76" s="274"/>
      <c r="AA76" s="317"/>
      <c r="AB76" s="213"/>
      <c r="AC76" s="208"/>
      <c r="AD76" s="208"/>
      <c r="AE76" s="424"/>
      <c r="AF76" s="1051"/>
      <c r="AG76" s="1046"/>
      <c r="AH76" s="216"/>
      <c r="AI76" s="1002"/>
      <c r="AJ76" s="217"/>
      <c r="AK76" s="585"/>
      <c r="AL76" s="217"/>
      <c r="AM76" s="160"/>
      <c r="AN76" s="910"/>
      <c r="AO76" s="216"/>
      <c r="AP76" s="214"/>
      <c r="AQ76" s="216"/>
      <c r="AR76" s="217"/>
      <c r="AS76" s="328"/>
      <c r="AT76" s="160"/>
      <c r="AU76" s="160"/>
      <c r="AV76" s="160"/>
      <c r="AW76" s="160"/>
      <c r="AX76" s="160"/>
      <c r="AY76" s="329"/>
      <c r="AZ76" s="296"/>
      <c r="BA76" s="213"/>
      <c r="BB76" s="887"/>
      <c r="BC76" s="887"/>
      <c r="BD76" s="886"/>
      <c r="BE76" s="1110"/>
      <c r="BF76" s="1121"/>
      <c r="BG76" s="577"/>
      <c r="BH76" s="289"/>
      <c r="BI76" s="583"/>
      <c r="BJ76"/>
      <c r="BK76"/>
      <c r="BL76"/>
      <c r="BM76"/>
      <c r="BN76"/>
      <c r="BO76"/>
      <c r="BP76"/>
      <c r="BQ76"/>
      <c r="BR76"/>
      <c r="BS76"/>
      <c r="BT76"/>
      <c r="BU76"/>
      <c r="BV76"/>
      <c r="BW76"/>
      <c r="BX76"/>
      <c r="BY76"/>
      <c r="BZ76"/>
      <c r="CA76"/>
      <c r="CB76"/>
      <c r="CC76"/>
      <c r="CD76"/>
      <c r="CE76"/>
      <c r="CF76"/>
      <c r="CG76"/>
    </row>
    <row r="77" spans="1:217" s="150" customFormat="1">
      <c r="A77" s="289"/>
      <c r="B77" s="85" t="s">
        <v>167</v>
      </c>
      <c r="C77" s="40"/>
      <c r="D77" s="165">
        <f>217.02</f>
        <v>217.02</v>
      </c>
      <c r="E77" s="115" t="s">
        <v>91</v>
      </c>
      <c r="F77" s="115" t="s">
        <v>118</v>
      </c>
      <c r="G77" s="40" t="s">
        <v>122</v>
      </c>
      <c r="H77" s="158" t="s">
        <v>11</v>
      </c>
      <c r="I77" s="118" t="s">
        <v>111</v>
      </c>
      <c r="J77" s="8" t="s">
        <v>90</v>
      </c>
      <c r="K77" s="7" t="s">
        <v>112</v>
      </c>
      <c r="L77" s="333">
        <v>18.95</v>
      </c>
      <c r="M77" s="38"/>
      <c r="N77" s="30">
        <f>L77+M77</f>
        <v>18.95</v>
      </c>
      <c r="O77" s="29"/>
      <c r="P77" s="29">
        <f>N77+O77</f>
        <v>18.95</v>
      </c>
      <c r="Q77" s="115" t="s">
        <v>171</v>
      </c>
      <c r="R77" s="29"/>
      <c r="S77" s="537"/>
      <c r="T77" s="118">
        <v>25</v>
      </c>
      <c r="U77" s="1052">
        <f>T77/'Grondslag bouw &amp; infra'!$B$50</f>
        <v>9.5785440613026823E-2</v>
      </c>
      <c r="V77" s="120">
        <v>20</v>
      </c>
      <c r="W77" s="80">
        <v>0</v>
      </c>
      <c r="X77" s="1052">
        <f>(V77+W77)/'Grondslag bouw &amp; infra'!$B$50</f>
        <v>7.662835249042145E-2</v>
      </c>
      <c r="Y77" s="538"/>
      <c r="Z77" s="344"/>
      <c r="AA77" s="345"/>
      <c r="AB77" s="537"/>
      <c r="AC77" s="118">
        <v>0</v>
      </c>
      <c r="AD77" s="120">
        <v>0</v>
      </c>
      <c r="AE77" s="121">
        <v>0</v>
      </c>
      <c r="AF77" s="1085">
        <f>(AC77+AD77+AE77)/'Grondslag bouw &amp; infra'!$B$50</f>
        <v>0</v>
      </c>
      <c r="AG77" s="1040"/>
      <c r="AH77" s="522"/>
      <c r="AI77" s="1001">
        <v>3.6499999999999998E-2</v>
      </c>
      <c r="AJ77" s="539"/>
      <c r="AK77" s="1009"/>
      <c r="AL77" s="539"/>
      <c r="AM77" s="115">
        <v>0</v>
      </c>
      <c r="AN77" s="911"/>
      <c r="AO77" s="422"/>
      <c r="AP77" s="491"/>
      <c r="AQ77" s="30">
        <f>(P77*(AF77+AI77)+P77)</f>
        <v>19.641674999999999</v>
      </c>
      <c r="AR77" s="539"/>
      <c r="AS77" s="307"/>
      <c r="AT77" s="115"/>
      <c r="AU77" s="29"/>
      <c r="AV77" s="29">
        <v>0.68</v>
      </c>
      <c r="AW77" s="29">
        <v>1.1000000000000001</v>
      </c>
      <c r="AX77" s="29">
        <v>0.48</v>
      </c>
      <c r="AY77" s="41">
        <f>SUM(AS77:AX77)</f>
        <v>2.2600000000000002</v>
      </c>
      <c r="AZ77" s="143" t="s">
        <v>377</v>
      </c>
      <c r="BA77" s="541"/>
      <c r="BB77" s="881">
        <f>BC77</f>
        <v>663.32</v>
      </c>
      <c r="BC77" s="881">
        <f>2653.28/4</f>
        <v>663.32</v>
      </c>
      <c r="BD77" s="419">
        <f>(BB77-(AY77*5))*(1-1%)</f>
        <v>645.49980000000005</v>
      </c>
      <c r="BE77" s="30">
        <f>BD77</f>
        <v>645.49980000000005</v>
      </c>
      <c r="BF77" s="1117">
        <f>BD77</f>
        <v>645.49980000000005</v>
      </c>
      <c r="BG77" s="569"/>
      <c r="BH77" s="289"/>
      <c r="BI77" s="583"/>
      <c r="BJ77" s="149"/>
      <c r="BK77" s="149"/>
      <c r="BL77" s="149"/>
      <c r="BM77" s="149"/>
      <c r="BN77" s="149"/>
      <c r="BO77" s="149"/>
      <c r="BP77" s="149"/>
      <c r="BQ77" s="149"/>
      <c r="BR77" s="149"/>
      <c r="BS77" s="149"/>
      <c r="BT77" s="149"/>
      <c r="BU77" s="149"/>
      <c r="BV77" s="149"/>
      <c r="BW77" s="149"/>
      <c r="BX77" s="149"/>
      <c r="BY77" s="149"/>
      <c r="BZ77" s="149"/>
      <c r="CA77" s="149"/>
      <c r="CB77" s="149"/>
      <c r="CC77" s="149"/>
      <c r="CD77" s="149"/>
      <c r="CE77" s="149"/>
      <c r="CF77" s="149"/>
      <c r="CG77" s="149"/>
      <c r="CH77" s="379"/>
      <c r="CI77" s="379"/>
      <c r="CJ77" s="379"/>
      <c r="CK77" s="379"/>
      <c r="CL77" s="379"/>
      <c r="CM77" s="379"/>
      <c r="CN77" s="379"/>
      <c r="CO77" s="379"/>
      <c r="CP77" s="379"/>
      <c r="CQ77" s="379"/>
      <c r="CR77" s="379"/>
      <c r="CS77" s="379"/>
      <c r="CT77" s="379"/>
      <c r="CU77" s="379"/>
      <c r="CV77" s="379"/>
      <c r="CW77" s="379"/>
      <c r="CX77" s="379"/>
      <c r="CY77" s="379"/>
      <c r="CZ77" s="379"/>
      <c r="DA77" s="379"/>
      <c r="DB77" s="379"/>
      <c r="DC77" s="379"/>
      <c r="DD77" s="379"/>
      <c r="DE77" s="379"/>
      <c r="DF77" s="379"/>
      <c r="DG77" s="379"/>
      <c r="DH77" s="379"/>
      <c r="DI77" s="379"/>
      <c r="DJ77" s="379"/>
      <c r="DK77" s="379"/>
      <c r="DL77" s="379"/>
      <c r="DM77" s="379"/>
      <c r="DN77" s="379"/>
      <c r="DO77" s="379"/>
      <c r="DP77" s="379"/>
      <c r="DQ77" s="379"/>
      <c r="DR77" s="379"/>
      <c r="DS77" s="379"/>
      <c r="DT77" s="379"/>
      <c r="DU77" s="379"/>
      <c r="DV77" s="379"/>
      <c r="DW77" s="379"/>
      <c r="DX77" s="379"/>
      <c r="DY77" s="379"/>
      <c r="DZ77" s="379"/>
      <c r="EA77" s="379"/>
      <c r="EB77" s="379"/>
      <c r="EC77" s="379"/>
      <c r="ED77" s="379"/>
      <c r="EE77" s="379"/>
      <c r="EF77" s="379"/>
      <c r="EG77" s="379"/>
      <c r="EH77" s="379"/>
      <c r="EI77" s="379"/>
      <c r="EJ77" s="379"/>
      <c r="EK77" s="379"/>
      <c r="EL77" s="379"/>
      <c r="EM77" s="379"/>
      <c r="EN77" s="379"/>
      <c r="EO77" s="379"/>
      <c r="EP77" s="379"/>
      <c r="EQ77" s="379"/>
      <c r="ER77" s="379"/>
      <c r="ES77" s="379"/>
      <c r="ET77" s="379"/>
      <c r="EU77" s="379"/>
      <c r="EV77" s="379"/>
      <c r="EW77" s="379"/>
      <c r="EX77" s="379"/>
      <c r="EY77" s="379"/>
      <c r="EZ77" s="379"/>
      <c r="FA77" s="379"/>
      <c r="FB77" s="379"/>
      <c r="FC77" s="379"/>
      <c r="FD77" s="379"/>
      <c r="FE77" s="379"/>
      <c r="FF77" s="379"/>
      <c r="FG77" s="379"/>
      <c r="FH77" s="379"/>
      <c r="FI77" s="379"/>
      <c r="FJ77" s="379"/>
      <c r="FK77" s="379"/>
      <c r="FL77" s="379"/>
      <c r="FM77" s="379"/>
      <c r="FN77" s="379"/>
      <c r="FO77" s="379"/>
      <c r="FP77" s="379"/>
      <c r="FQ77" s="379"/>
      <c r="FR77" s="379"/>
      <c r="FS77" s="379"/>
      <c r="FT77" s="379"/>
      <c r="FU77" s="379"/>
      <c r="FV77" s="379"/>
      <c r="FW77" s="379"/>
      <c r="FX77" s="379"/>
      <c r="FY77" s="379"/>
      <c r="FZ77" s="379"/>
      <c r="GA77" s="379"/>
      <c r="GB77" s="379"/>
      <c r="GC77" s="379"/>
      <c r="GD77" s="379"/>
      <c r="GE77" s="379"/>
      <c r="GF77" s="379"/>
      <c r="GG77" s="379"/>
      <c r="GH77" s="379"/>
      <c r="GI77" s="379"/>
      <c r="GJ77" s="379"/>
      <c r="GK77" s="379"/>
      <c r="GL77" s="379"/>
      <c r="GM77" s="379"/>
      <c r="GN77" s="379"/>
      <c r="GO77" s="379"/>
      <c r="GP77" s="379"/>
      <c r="GQ77" s="379"/>
      <c r="GR77" s="379"/>
      <c r="GS77" s="379"/>
      <c r="GT77" s="379"/>
      <c r="GU77" s="379"/>
      <c r="GV77" s="379"/>
      <c r="GW77" s="379"/>
      <c r="GX77" s="379"/>
      <c r="GY77" s="379"/>
      <c r="GZ77" s="379"/>
      <c r="HA77" s="379"/>
      <c r="HB77" s="379"/>
      <c r="HC77" s="379"/>
      <c r="HD77" s="379"/>
      <c r="HE77" s="379"/>
      <c r="HF77" s="379"/>
      <c r="HG77" s="379"/>
      <c r="HH77" s="379"/>
      <c r="HI77" s="379"/>
    </row>
    <row r="78" spans="1:217">
      <c r="B78" s="86"/>
      <c r="C78" s="28"/>
      <c r="D78" s="164"/>
      <c r="E78" s="29"/>
      <c r="F78" s="29"/>
      <c r="G78" s="263"/>
      <c r="H78" s="37"/>
      <c r="I78" s="37"/>
      <c r="J78" s="8"/>
      <c r="K78" s="7"/>
      <c r="L78" s="324"/>
      <c r="M78" s="38"/>
      <c r="N78" s="29"/>
      <c r="O78" s="9"/>
      <c r="P78" s="9"/>
      <c r="Q78" s="9"/>
      <c r="R78" s="9"/>
      <c r="S78" s="76"/>
      <c r="T78" s="8"/>
      <c r="U78" s="1011"/>
      <c r="V78" s="8"/>
      <c r="W78" s="8"/>
      <c r="X78" s="1011"/>
      <c r="Z78" s="35"/>
      <c r="AA78" s="316"/>
      <c r="AB78" s="45"/>
      <c r="AC78" s="37"/>
      <c r="AD78" s="37"/>
      <c r="AE78" s="25"/>
      <c r="AF78" s="1050"/>
      <c r="AG78" s="1039"/>
      <c r="AZ78" s="143"/>
      <c r="BG78" s="568"/>
    </row>
    <row r="79" spans="1:217">
      <c r="B79" s="207"/>
      <c r="C79" s="137"/>
      <c r="D79" s="163"/>
      <c r="E79" s="168"/>
      <c r="F79" s="168"/>
      <c r="G79" s="265"/>
      <c r="H79" s="208"/>
      <c r="I79" s="208"/>
      <c r="J79" s="209"/>
      <c r="K79" s="210"/>
      <c r="L79" s="326"/>
      <c r="M79" s="218"/>
      <c r="N79" s="168"/>
      <c r="O79" s="160"/>
      <c r="P79" s="160"/>
      <c r="Q79" s="160"/>
      <c r="R79" s="160"/>
      <c r="S79" s="211"/>
      <c r="T79" s="209"/>
      <c r="U79" s="1013"/>
      <c r="V79" s="209"/>
      <c r="W79" s="209"/>
      <c r="X79" s="1013"/>
      <c r="Y79" s="299"/>
      <c r="Z79" s="274"/>
      <c r="AA79" s="274"/>
      <c r="AB79" s="213"/>
      <c r="AC79" s="208"/>
      <c r="AD79" s="208"/>
      <c r="AE79" s="424"/>
      <c r="AF79" s="1051"/>
      <c r="AG79" s="1046"/>
      <c r="AH79" s="216"/>
      <c r="AI79" s="1002"/>
      <c r="AJ79" s="217"/>
      <c r="AK79" s="585"/>
      <c r="AL79" s="217"/>
      <c r="AM79" s="160"/>
      <c r="AN79" s="910"/>
      <c r="AO79" s="216"/>
      <c r="AP79" s="214"/>
      <c r="AQ79" s="216"/>
      <c r="AR79" s="217"/>
      <c r="AS79" s="328"/>
      <c r="AT79" s="160"/>
      <c r="AU79" s="160"/>
      <c r="AV79" s="160"/>
      <c r="AW79" s="160"/>
      <c r="AX79" s="160"/>
      <c r="AY79" s="329"/>
      <c r="AZ79" s="296"/>
      <c r="BA79" s="213"/>
      <c r="BB79" s="887"/>
      <c r="BC79" s="887"/>
      <c r="BD79" s="886"/>
      <c r="BE79" s="1110"/>
      <c r="BF79" s="1124"/>
      <c r="BG79" s="570"/>
    </row>
    <row r="80" spans="1:217" s="149" customFormat="1">
      <c r="A80" s="1269"/>
      <c r="B80" s="86" t="s">
        <v>233</v>
      </c>
      <c r="C80" s="431"/>
      <c r="D80" s="164">
        <v>1122.03</v>
      </c>
      <c r="E80" s="29" t="s">
        <v>234</v>
      </c>
      <c r="F80" s="29" t="s">
        <v>97</v>
      </c>
      <c r="G80" s="263" t="s">
        <v>85</v>
      </c>
      <c r="H80" s="8" t="s">
        <v>10</v>
      </c>
      <c r="I80" s="118" t="s">
        <v>366</v>
      </c>
      <c r="J80" s="8" t="s">
        <v>174</v>
      </c>
      <c r="K80" s="7" t="s">
        <v>173</v>
      </c>
      <c r="L80" s="336">
        <v>19.190000000000001</v>
      </c>
      <c r="M80" s="204">
        <v>0.51</v>
      </c>
      <c r="N80" s="41">
        <f>L80+M80</f>
        <v>19.700000000000003</v>
      </c>
      <c r="O80" s="115"/>
      <c r="P80" s="115">
        <f>N80+O80</f>
        <v>19.700000000000003</v>
      </c>
      <c r="Q80" s="115"/>
      <c r="R80" s="29"/>
      <c r="S80" s="76"/>
      <c r="T80" s="118">
        <v>20</v>
      </c>
      <c r="U80" s="1052">
        <f>T80/'Grondslag bouw &amp; infra'!$B$50</f>
        <v>7.662835249042145E-2</v>
      </c>
      <c r="V80" s="120">
        <v>8</v>
      </c>
      <c r="W80" s="80">
        <v>0</v>
      </c>
      <c r="X80" s="1052">
        <f>(V80+W80)/'Grondslag bouw &amp; infra'!$B$50</f>
        <v>3.0651340996168581E-2</v>
      </c>
      <c r="Y80" s="300"/>
      <c r="Z80" s="119"/>
      <c r="AA80" s="316"/>
      <c r="AB80" s="217"/>
      <c r="AC80" s="118">
        <v>5</v>
      </c>
      <c r="AD80" s="120">
        <v>7</v>
      </c>
      <c r="AE80" s="121">
        <v>5</v>
      </c>
      <c r="AF80" s="1085">
        <f>(AC80+AD80+AE80)/'Grondslag bouw &amp; infra'!$B$50</f>
        <v>6.5134099616858232E-2</v>
      </c>
      <c r="AG80" s="1040"/>
      <c r="AH80" s="522"/>
      <c r="AI80" s="1001">
        <v>2.3E-2</v>
      </c>
      <c r="AJ80" s="217"/>
      <c r="AK80" s="1008"/>
      <c r="AL80" s="217"/>
      <c r="AM80" s="115">
        <v>0</v>
      </c>
      <c r="AN80" s="911"/>
      <c r="AO80" s="422"/>
      <c r="AP80" s="491"/>
      <c r="AQ80" s="30"/>
      <c r="AR80" s="217"/>
      <c r="AS80" s="43"/>
      <c r="AT80" s="115"/>
      <c r="AU80" s="115"/>
      <c r="AV80" s="115">
        <v>0.68</v>
      </c>
      <c r="AW80" s="115">
        <v>1.1000000000000001</v>
      </c>
      <c r="AX80" s="115">
        <v>0.48</v>
      </c>
      <c r="AY80" s="41">
        <f>SUM(AS80:AX80)</f>
        <v>2.2600000000000002</v>
      </c>
      <c r="AZ80" s="29">
        <v>0.32</v>
      </c>
      <c r="BA80" s="217"/>
      <c r="BB80" s="419">
        <f>700.56+11.2</f>
        <v>711.76</v>
      </c>
      <c r="BC80" s="419">
        <f>2657.58/4</f>
        <v>664.39499999999998</v>
      </c>
      <c r="BD80" s="419">
        <f>(BB80-(AY80*5))*(1-1%)</f>
        <v>693.45540000000005</v>
      </c>
      <c r="BE80" s="30">
        <f>BD80</f>
        <v>693.45540000000005</v>
      </c>
      <c r="BF80" s="1117">
        <f>BD80</f>
        <v>693.45540000000005</v>
      </c>
      <c r="BG80" s="569"/>
      <c r="BH80" s="289"/>
      <c r="BI80" s="586"/>
    </row>
    <row r="81" spans="1:61">
      <c r="B81" s="86"/>
      <c r="C81" s="28"/>
      <c r="D81" s="164"/>
      <c r="E81" s="29"/>
      <c r="F81" s="29"/>
      <c r="G81" s="263"/>
      <c r="H81" s="143"/>
      <c r="I81" s="32"/>
      <c r="J81" s="8"/>
      <c r="K81" s="7"/>
      <c r="L81" s="324"/>
      <c r="M81" s="38"/>
      <c r="N81" s="30"/>
      <c r="O81" s="29"/>
      <c r="P81" s="29"/>
      <c r="Q81" s="29"/>
      <c r="R81" s="29"/>
      <c r="S81" s="76"/>
      <c r="T81" s="32"/>
      <c r="U81" s="1016"/>
      <c r="V81" s="79"/>
      <c r="W81" s="80"/>
      <c r="X81" s="1016"/>
      <c r="Z81" s="35"/>
      <c r="AA81" s="316"/>
      <c r="AB81" s="45"/>
      <c r="AC81" s="32"/>
      <c r="AD81" s="79"/>
      <c r="AE81" s="80"/>
      <c r="AF81" s="1052"/>
      <c r="AG81" s="1041"/>
      <c r="AH81" s="522"/>
      <c r="AJ81" s="47"/>
      <c r="AL81" s="47"/>
      <c r="AO81" s="34"/>
      <c r="AQ81" s="706"/>
      <c r="AR81" s="47"/>
      <c r="AS81" s="43"/>
      <c r="AT81" s="29"/>
      <c r="AU81" s="29"/>
      <c r="AZ81" s="143"/>
      <c r="BB81" s="419"/>
      <c r="BC81" s="419"/>
      <c r="BD81" s="419"/>
      <c r="BE81" s="30"/>
      <c r="BF81" s="1118"/>
      <c r="BG81" s="579"/>
      <c r="BH81" s="289"/>
    </row>
    <row r="82" spans="1:61">
      <c r="B82" s="86"/>
      <c r="C82" s="28"/>
      <c r="D82" s="164"/>
      <c r="E82" s="29"/>
      <c r="F82" s="29"/>
      <c r="G82" s="263"/>
      <c r="H82" s="37"/>
      <c r="I82" s="37"/>
      <c r="J82" s="8"/>
      <c r="K82" s="7"/>
      <c r="L82" s="324"/>
      <c r="M82" s="38"/>
      <c r="N82" s="29"/>
      <c r="O82" s="9"/>
      <c r="P82" s="9"/>
      <c r="Q82" s="9"/>
      <c r="R82" s="9"/>
      <c r="S82" s="76"/>
      <c r="T82" s="8"/>
      <c r="U82" s="1013"/>
      <c r="V82" s="8"/>
      <c r="W82" s="8"/>
      <c r="X82" s="1011"/>
      <c r="Z82" s="35"/>
      <c r="AA82" s="316"/>
      <c r="AB82" s="45"/>
      <c r="AC82" s="37"/>
      <c r="AD82" s="37"/>
      <c r="AE82" s="39"/>
      <c r="AF82" s="1051"/>
      <c r="AG82" s="1047"/>
      <c r="AH82" s="216"/>
      <c r="AI82" s="1002"/>
      <c r="AK82" s="585"/>
      <c r="AZ82" s="143"/>
      <c r="BF82" s="1121"/>
      <c r="BG82" s="579"/>
      <c r="BH82" s="289"/>
    </row>
    <row r="83" spans="1:61" s="149" customFormat="1">
      <c r="A83" s="1269"/>
      <c r="B83" s="85" t="s">
        <v>411</v>
      </c>
      <c r="C83" s="158"/>
      <c r="D83" s="165"/>
      <c r="E83" s="115" t="s">
        <v>109</v>
      </c>
      <c r="F83" s="115" t="s">
        <v>412</v>
      </c>
      <c r="G83" s="264" t="s">
        <v>85</v>
      </c>
      <c r="H83" s="117" t="s">
        <v>11</v>
      </c>
      <c r="I83" s="118" t="s">
        <v>111</v>
      </c>
      <c r="J83" s="117" t="s">
        <v>93</v>
      </c>
      <c r="K83" s="12" t="s">
        <v>64</v>
      </c>
      <c r="L83" s="336">
        <v>20.02</v>
      </c>
      <c r="M83" s="204"/>
      <c r="N83" s="41">
        <f>L83+M83</f>
        <v>20.02</v>
      </c>
      <c r="O83" s="115"/>
      <c r="P83" s="115">
        <f>N83+O83</f>
        <v>20.02</v>
      </c>
      <c r="Q83" s="115" t="s">
        <v>171</v>
      </c>
      <c r="R83" s="115"/>
      <c r="S83" s="179"/>
      <c r="T83" s="118">
        <v>20</v>
      </c>
      <c r="U83" s="1052">
        <f>T83/'Grondslag bouw &amp; infra'!$B$50</f>
        <v>7.662835249042145E-2</v>
      </c>
      <c r="V83" s="120">
        <v>0</v>
      </c>
      <c r="W83" s="121">
        <v>0</v>
      </c>
      <c r="X83" s="1085">
        <f>(V83+W83)/'Grondslag bouw &amp; infra'!$B$50</f>
        <v>0</v>
      </c>
      <c r="Y83" s="300"/>
      <c r="Z83" s="344"/>
      <c r="AA83" s="345"/>
      <c r="AB83" s="179"/>
      <c r="AC83" s="118">
        <v>5</v>
      </c>
      <c r="AD83" s="120">
        <v>20</v>
      </c>
      <c r="AE83" s="121">
        <v>0</v>
      </c>
      <c r="AF83" s="1085">
        <f>(AC83+AD83+AE83)/'Grondslag bouw &amp; infra'!$B$50</f>
        <v>9.5785440613026823E-2</v>
      </c>
      <c r="AG83" s="1040"/>
      <c r="AH83" s="522">
        <f>(AQ83-'Grondslag bouw &amp; infra'!$B$46)*'Grondslag bouw &amp; infra'!$B$43</f>
        <v>0.36500953259180091</v>
      </c>
      <c r="AI83" s="1001">
        <v>3.6499999999999998E-2</v>
      </c>
      <c r="AJ83" s="346"/>
      <c r="AK83" s="1008"/>
      <c r="AL83" s="346"/>
      <c r="AM83" s="115">
        <v>0</v>
      </c>
      <c r="AN83" s="911"/>
      <c r="AO83" s="422"/>
      <c r="AP83" s="491"/>
      <c r="AQ83" s="41">
        <f>(P83*(AF83+AI83)+P83)</f>
        <v>22.668354521072796</v>
      </c>
      <c r="AR83" s="346"/>
      <c r="AS83" s="307"/>
      <c r="AT83" s="115"/>
      <c r="AU83" s="115">
        <v>0.96</v>
      </c>
      <c r="AV83" s="115">
        <v>0.68</v>
      </c>
      <c r="AW83" s="115">
        <v>1.1000000000000001</v>
      </c>
      <c r="AX83" s="115">
        <v>0.48</v>
      </c>
      <c r="AY83" s="41">
        <f>SUM(AS83:AX83)</f>
        <v>3.22</v>
      </c>
      <c r="AZ83" s="115">
        <v>0.32</v>
      </c>
      <c r="BA83" s="179"/>
      <c r="BB83" s="881">
        <f>BC83</f>
        <v>752.79499999999996</v>
      </c>
      <c r="BC83" s="881">
        <f>3011.18/4</f>
        <v>752.79499999999996</v>
      </c>
      <c r="BD83" s="881">
        <f>(BB83-(AY83*5))*(1-1%)</f>
        <v>729.32804999999996</v>
      </c>
      <c r="BE83" s="41">
        <f>BD83</f>
        <v>729.32804999999996</v>
      </c>
      <c r="BF83" s="1117">
        <f>BD83</f>
        <v>729.32804999999996</v>
      </c>
      <c r="BG83" s="569"/>
      <c r="BH83" s="289"/>
      <c r="BI83" s="586"/>
    </row>
    <row r="84" spans="1:61">
      <c r="B84" s="86"/>
      <c r="C84" s="28"/>
      <c r="D84" s="164"/>
      <c r="E84" s="29"/>
      <c r="F84" s="29"/>
      <c r="G84" s="263"/>
      <c r="H84" s="37"/>
      <c r="I84" s="37"/>
      <c r="J84" s="8"/>
      <c r="K84" s="7"/>
      <c r="L84" s="324"/>
      <c r="M84" s="38"/>
      <c r="N84" s="29"/>
      <c r="O84" s="9"/>
      <c r="P84" s="9"/>
      <c r="Q84" s="9"/>
      <c r="R84" s="9"/>
      <c r="S84" s="76"/>
      <c r="T84" s="8"/>
      <c r="U84" s="1011"/>
      <c r="V84" s="8"/>
      <c r="W84" s="8"/>
      <c r="X84" s="1011"/>
      <c r="Z84" s="35"/>
      <c r="AA84" s="35"/>
      <c r="AB84" s="45"/>
      <c r="AC84" s="37"/>
      <c r="AD84" s="143"/>
      <c r="AE84" s="25"/>
      <c r="AF84" s="1050"/>
      <c r="AG84" s="1039"/>
      <c r="AZ84" s="143"/>
      <c r="BF84" s="1117"/>
      <c r="BG84" s="568"/>
    </row>
    <row r="85" spans="1:61">
      <c r="B85" s="207"/>
      <c r="C85" s="137"/>
      <c r="D85" s="163"/>
      <c r="E85" s="168"/>
      <c r="F85" s="168"/>
      <c r="G85" s="265"/>
      <c r="H85" s="208"/>
      <c r="I85" s="208"/>
      <c r="J85" s="209"/>
      <c r="K85" s="210"/>
      <c r="L85" s="326"/>
      <c r="M85" s="218"/>
      <c r="N85" s="168"/>
      <c r="O85" s="160"/>
      <c r="P85" s="160"/>
      <c r="Q85" s="160"/>
      <c r="R85" s="160"/>
      <c r="S85" s="211"/>
      <c r="T85" s="209"/>
      <c r="U85" s="1013"/>
      <c r="V85" s="209"/>
      <c r="W85" s="209"/>
      <c r="X85" s="1013"/>
      <c r="Y85" s="299"/>
      <c r="Z85" s="274"/>
      <c r="AA85" s="274"/>
      <c r="AB85" s="213"/>
      <c r="AC85" s="208"/>
      <c r="AD85" s="208"/>
      <c r="AE85" s="424"/>
      <c r="AF85" s="1051"/>
      <c r="AG85" s="1046"/>
      <c r="AH85" s="216"/>
      <c r="AI85" s="1002"/>
      <c r="AJ85" s="217"/>
      <c r="AK85" s="585"/>
      <c r="AL85" s="217"/>
      <c r="AM85" s="160"/>
      <c r="AN85" s="910"/>
      <c r="AO85" s="216"/>
      <c r="AP85" s="214"/>
      <c r="AQ85" s="216"/>
      <c r="AR85" s="217"/>
      <c r="AS85" s="328"/>
      <c r="AT85" s="160"/>
      <c r="AU85" s="160"/>
      <c r="AV85" s="160"/>
      <c r="AW85" s="160"/>
      <c r="AX85" s="160"/>
      <c r="AY85" s="329"/>
      <c r="AZ85" s="296"/>
      <c r="BA85" s="213"/>
      <c r="BB85" s="887"/>
      <c r="BC85" s="887"/>
      <c r="BD85" s="886"/>
      <c r="BE85" s="1110"/>
      <c r="BF85" s="1121"/>
      <c r="BG85" s="577"/>
    </row>
    <row r="86" spans="1:61" s="149" customFormat="1">
      <c r="A86" s="1269"/>
      <c r="B86" s="85"/>
      <c r="C86" s="391"/>
      <c r="D86" s="165"/>
      <c r="E86" s="115"/>
      <c r="F86" s="115"/>
      <c r="G86" s="264"/>
      <c r="H86" s="117"/>
      <c r="I86" s="118"/>
      <c r="J86" s="117"/>
      <c r="K86" s="12"/>
      <c r="L86" s="336"/>
      <c r="M86" s="204"/>
      <c r="N86" s="41"/>
      <c r="O86" s="115"/>
      <c r="P86" s="115"/>
      <c r="Q86" s="115"/>
      <c r="R86" s="115"/>
      <c r="S86" s="179"/>
      <c r="T86" s="118"/>
      <c r="U86" s="1020"/>
      <c r="V86" s="120"/>
      <c r="W86" s="121"/>
      <c r="X86" s="1020"/>
      <c r="Y86" s="300"/>
      <c r="Z86" s="344"/>
      <c r="AA86" s="345"/>
      <c r="AB86" s="179"/>
      <c r="AC86" s="118"/>
      <c r="AD86" s="120"/>
      <c r="AE86" s="121"/>
      <c r="AF86" s="1085"/>
      <c r="AG86" s="1040"/>
      <c r="AH86" s="1103"/>
      <c r="AI86" s="1004"/>
      <c r="AJ86" s="346"/>
      <c r="AK86" s="999"/>
      <c r="AL86" s="346"/>
      <c r="AM86" s="138"/>
      <c r="AN86" s="904"/>
      <c r="AO86" s="116"/>
      <c r="AP86" s="141"/>
      <c r="AQ86" s="707"/>
      <c r="AR86" s="346"/>
      <c r="AS86" s="307"/>
      <c r="AT86" s="115"/>
      <c r="AU86" s="115"/>
      <c r="AV86" s="115"/>
      <c r="AW86" s="115"/>
      <c r="AX86" s="115"/>
      <c r="AY86" s="41"/>
      <c r="AZ86" s="158"/>
      <c r="BA86" s="179"/>
      <c r="BB86" s="881"/>
      <c r="BC86" s="881"/>
      <c r="BD86" s="881"/>
      <c r="BE86" s="41"/>
      <c r="BF86" s="1123"/>
      <c r="BG86" s="569"/>
      <c r="BH86" s="289"/>
      <c r="BI86" s="586"/>
    </row>
    <row r="87" spans="1:61" s="149" customFormat="1">
      <c r="A87" s="289"/>
      <c r="B87" s="86" t="s">
        <v>172</v>
      </c>
      <c r="C87" s="431"/>
      <c r="D87" s="164">
        <f>89.02-89.02</f>
        <v>0</v>
      </c>
      <c r="E87" s="29" t="s">
        <v>91</v>
      </c>
      <c r="F87" s="29" t="s">
        <v>97</v>
      </c>
      <c r="G87" s="263" t="s">
        <v>122</v>
      </c>
      <c r="H87" s="8" t="s">
        <v>10</v>
      </c>
      <c r="I87" s="32" t="s">
        <v>363</v>
      </c>
      <c r="J87" s="8" t="s">
        <v>174</v>
      </c>
      <c r="K87" s="7" t="s">
        <v>173</v>
      </c>
      <c r="L87" s="333">
        <v>19.190000000000001</v>
      </c>
      <c r="M87" s="38"/>
      <c r="N87" s="30">
        <f>L87+M87</f>
        <v>19.190000000000001</v>
      </c>
      <c r="O87" s="29"/>
      <c r="P87" s="29">
        <f>N87+O87</f>
        <v>19.190000000000001</v>
      </c>
      <c r="Q87" s="29" t="s">
        <v>171</v>
      </c>
      <c r="R87" s="29"/>
      <c r="S87" s="470"/>
      <c r="T87" s="32">
        <v>20</v>
      </c>
      <c r="U87" s="1052">
        <f>T87/'Grondslag bouw &amp; infra'!$B$50</f>
        <v>7.662835249042145E-2</v>
      </c>
      <c r="V87" s="79">
        <v>10</v>
      </c>
      <c r="W87" s="80">
        <v>0</v>
      </c>
      <c r="X87" s="1052">
        <f>(V87+W87)/'Grondslag bouw &amp; infra'!$B$50</f>
        <v>3.8314176245210725E-2</v>
      </c>
      <c r="Y87" s="298"/>
      <c r="Z87" s="433"/>
      <c r="AA87" s="467"/>
      <c r="AB87" s="470"/>
      <c r="AC87" s="32">
        <v>5</v>
      </c>
      <c r="AD87" s="79">
        <v>5</v>
      </c>
      <c r="AE87" s="80">
        <v>0</v>
      </c>
      <c r="AF87" s="1086">
        <f>(AC87+AD87+AE87)/'Grondslag bouw &amp; infra'!$B$50</f>
        <v>3.8314176245210725E-2</v>
      </c>
      <c r="AG87" s="1041"/>
      <c r="AH87" s="522"/>
      <c r="AI87" s="1001">
        <v>2.3E-2</v>
      </c>
      <c r="AJ87" s="471"/>
      <c r="AK87" s="1008"/>
      <c r="AL87" s="471"/>
      <c r="AM87" s="9">
        <f>$AN$6*AN87</f>
        <v>0</v>
      </c>
      <c r="AN87" s="180"/>
      <c r="AO87" s="34"/>
      <c r="AP87" s="31"/>
      <c r="AQ87" s="30">
        <f>(P87*(AF87+AI87)+P87)</f>
        <v>20.366619042145594</v>
      </c>
      <c r="AR87" s="471"/>
      <c r="AS87" s="29">
        <v>2.4</v>
      </c>
      <c r="AT87" s="29"/>
      <c r="AU87" s="29"/>
      <c r="AV87" s="29">
        <v>0.68</v>
      </c>
      <c r="AW87" s="29">
        <v>1.1000000000000001</v>
      </c>
      <c r="AX87" s="29">
        <v>0.48</v>
      </c>
      <c r="AY87" s="30">
        <f>SUM(AS87:AX87)</f>
        <v>4.66</v>
      </c>
      <c r="AZ87" s="29">
        <v>0.25</v>
      </c>
      <c r="BA87" s="470"/>
      <c r="BB87" s="419">
        <f>(650+11.23+11.31)/32*40</f>
        <v>840.67499999999995</v>
      </c>
      <c r="BC87" s="419">
        <f>2786.94/4</f>
        <v>696.73500000000001</v>
      </c>
      <c r="BD87" s="419">
        <f>(BB87-(AY87*5))*(1-1%)</f>
        <v>809.20124999999996</v>
      </c>
      <c r="BE87" s="30">
        <f>BD87</f>
        <v>809.20124999999996</v>
      </c>
      <c r="BF87" s="1117">
        <f>BD87</f>
        <v>809.20124999999996</v>
      </c>
      <c r="BG87" s="572"/>
      <c r="BH87" s="289"/>
      <c r="BI87" s="586"/>
    </row>
    <row r="88" spans="1:61">
      <c r="B88" s="207"/>
      <c r="C88" s="137"/>
      <c r="D88" s="163"/>
      <c r="E88" s="168"/>
      <c r="F88" s="168"/>
      <c r="G88" s="265"/>
      <c r="H88" s="208"/>
      <c r="I88" s="208"/>
      <c r="J88" s="209"/>
      <c r="K88" s="210"/>
      <c r="L88" s="326"/>
      <c r="M88" s="218"/>
      <c r="N88" s="168"/>
      <c r="O88" s="160"/>
      <c r="P88" s="160"/>
      <c r="Q88" s="160"/>
      <c r="R88" s="160"/>
      <c r="S88" s="211"/>
      <c r="T88" s="209"/>
      <c r="U88" s="1013"/>
      <c r="V88" s="209"/>
      <c r="W88" s="209"/>
      <c r="X88" s="1013"/>
      <c r="Y88" s="299"/>
      <c r="Z88" s="274"/>
      <c r="AA88" s="274"/>
      <c r="AB88" s="213"/>
      <c r="AC88" s="209"/>
      <c r="AD88" s="208"/>
      <c r="AE88" s="424"/>
      <c r="AF88" s="1051"/>
      <c r="AG88" s="1046"/>
      <c r="AH88" s="216"/>
      <c r="AI88" s="1002"/>
      <c r="AJ88" s="217"/>
      <c r="AK88" s="585"/>
      <c r="AL88" s="217"/>
      <c r="AM88" s="160"/>
      <c r="AN88" s="910"/>
      <c r="AO88" s="216"/>
      <c r="AP88" s="214"/>
      <c r="AQ88" s="216"/>
      <c r="AR88" s="217"/>
      <c r="AS88" s="328"/>
      <c r="AT88" s="160"/>
      <c r="AU88" s="160"/>
      <c r="AV88" s="160"/>
      <c r="AW88" s="160"/>
      <c r="AX88" s="160"/>
      <c r="AY88" s="329"/>
      <c r="AZ88" s="296"/>
      <c r="BA88" s="213"/>
      <c r="BB88" s="887"/>
      <c r="BC88" s="887"/>
      <c r="BD88" s="886"/>
      <c r="BE88" s="1110"/>
      <c r="BF88" s="1124"/>
      <c r="BG88" s="570"/>
    </row>
    <row r="89" spans="1:61">
      <c r="A89" s="1269"/>
      <c r="B89" s="85"/>
      <c r="C89" s="40"/>
      <c r="D89" s="165"/>
      <c r="E89" s="115"/>
      <c r="F89" s="115"/>
      <c r="G89" s="264"/>
      <c r="H89" s="683"/>
      <c r="I89" s="683"/>
      <c r="J89" s="117"/>
      <c r="K89" s="12"/>
      <c r="L89" s="327"/>
      <c r="M89" s="204"/>
      <c r="N89" s="115"/>
      <c r="O89" s="138"/>
      <c r="P89" s="138"/>
      <c r="Q89" s="138"/>
      <c r="R89" s="138"/>
      <c r="S89" s="139"/>
      <c r="T89" s="117"/>
      <c r="U89" s="1026"/>
      <c r="V89" s="117"/>
      <c r="W89" s="117"/>
      <c r="X89" s="1026"/>
      <c r="Y89" s="300"/>
      <c r="Z89" s="119"/>
      <c r="AA89" s="119"/>
      <c r="AB89" s="140"/>
      <c r="AC89" s="117"/>
      <c r="AD89" s="683"/>
      <c r="AE89" s="684"/>
      <c r="AF89" s="1064"/>
      <c r="AG89" s="1048"/>
      <c r="AH89" s="685"/>
      <c r="AI89" s="1004"/>
      <c r="AJ89" s="142"/>
      <c r="AK89" s="999"/>
      <c r="AL89" s="142"/>
      <c r="AM89" s="138"/>
      <c r="AN89" s="904"/>
      <c r="AO89" s="685"/>
      <c r="AP89" s="141"/>
      <c r="AQ89" s="685"/>
      <c r="AR89" s="142"/>
      <c r="AS89" s="686"/>
      <c r="AT89" s="138"/>
      <c r="AU89" s="138"/>
      <c r="AV89" s="138"/>
      <c r="AW89" s="138"/>
      <c r="AX89" s="138"/>
      <c r="AY89" s="330"/>
      <c r="AZ89" s="158"/>
      <c r="BA89" s="140"/>
      <c r="BB89" s="889"/>
      <c r="BC89" s="889"/>
      <c r="BD89" s="888"/>
      <c r="BE89" s="1111"/>
      <c r="BF89" s="1127"/>
      <c r="BG89" s="581"/>
    </row>
    <row r="90" spans="1:61" s="149" customFormat="1">
      <c r="A90" s="289"/>
      <c r="B90" s="86" t="s">
        <v>421</v>
      </c>
      <c r="C90" s="431"/>
      <c r="D90" s="164"/>
      <c r="E90" s="29" t="s">
        <v>109</v>
      </c>
      <c r="F90" s="29" t="s">
        <v>224</v>
      </c>
      <c r="G90" s="263" t="s">
        <v>85</v>
      </c>
      <c r="H90" s="8" t="s">
        <v>10</v>
      </c>
      <c r="I90" s="32" t="s">
        <v>413</v>
      </c>
      <c r="J90" s="8" t="s">
        <v>510</v>
      </c>
      <c r="K90" s="7" t="s">
        <v>173</v>
      </c>
      <c r="L90" s="333">
        <v>14.98</v>
      </c>
      <c r="M90" s="38"/>
      <c r="N90" s="30">
        <f>L90+M90</f>
        <v>14.98</v>
      </c>
      <c r="O90" s="29"/>
      <c r="P90" s="29">
        <f>N90+O90</f>
        <v>14.98</v>
      </c>
      <c r="Q90" s="29" t="s">
        <v>171</v>
      </c>
      <c r="R90" s="29"/>
      <c r="S90" s="470"/>
      <c r="T90" s="32">
        <v>25</v>
      </c>
      <c r="U90" s="1052">
        <f>T90/'Grondslag bouw &amp; infra'!$B$50</f>
        <v>9.5785440613026823E-2</v>
      </c>
      <c r="V90" s="79">
        <v>15</v>
      </c>
      <c r="W90" s="80">
        <v>11</v>
      </c>
      <c r="X90" s="1052">
        <f>(V90+W90)/'Grondslag bouw &amp; infra'!$B$50</f>
        <v>9.9616858237547887E-2</v>
      </c>
      <c r="Y90" s="298"/>
      <c r="Z90" s="433"/>
      <c r="AA90" s="467"/>
      <c r="AB90" s="470"/>
      <c r="AC90" s="32">
        <v>0</v>
      </c>
      <c r="AD90" s="79">
        <v>0</v>
      </c>
      <c r="AE90" s="80">
        <v>0</v>
      </c>
      <c r="AF90" s="1086">
        <f>(AC90+AD90+AE90)/'Grondslag bouw &amp; infra'!$B$50</f>
        <v>0</v>
      </c>
      <c r="AG90" s="1041"/>
      <c r="AH90" s="522" t="s">
        <v>224</v>
      </c>
      <c r="AI90" s="1001">
        <v>2.3E-2</v>
      </c>
      <c r="AJ90" s="471"/>
      <c r="AK90" s="1008"/>
      <c r="AL90" s="471"/>
      <c r="AM90" s="9">
        <f>$AN$6*AN90</f>
        <v>0</v>
      </c>
      <c r="AN90" s="180"/>
      <c r="AO90" s="34"/>
      <c r="AP90" s="31"/>
      <c r="AQ90" s="30">
        <f>(P90*(AF90+AI90)+P90)</f>
        <v>15.324540000000001</v>
      </c>
      <c r="AR90" s="471"/>
      <c r="AS90" s="29"/>
      <c r="AT90" s="29"/>
      <c r="AU90" s="29"/>
      <c r="AV90" s="29">
        <v>0.68</v>
      </c>
      <c r="AW90" s="29">
        <v>1.1000000000000001</v>
      </c>
      <c r="AX90" s="29">
        <v>0.48</v>
      </c>
      <c r="AY90" s="30">
        <f>SUM(AS90:AX90)</f>
        <v>2.2600000000000002</v>
      </c>
      <c r="AZ90" s="29">
        <v>0.25</v>
      </c>
      <c r="BA90" s="470"/>
      <c r="BB90" s="419">
        <f>2401.38/4</f>
        <v>600.34500000000003</v>
      </c>
      <c r="BC90" s="419">
        <f>2217.18/4</f>
        <v>554.29499999999996</v>
      </c>
      <c r="BD90" s="419">
        <f>(BB90-(AY90*5))*(1-1%)</f>
        <v>583.15455000000009</v>
      </c>
      <c r="BE90" s="30">
        <f>BD90</f>
        <v>583.15455000000009</v>
      </c>
      <c r="BF90" s="1118">
        <f>BD90</f>
        <v>583.15455000000009</v>
      </c>
      <c r="BG90" s="572"/>
      <c r="BH90" s="289"/>
      <c r="BI90" s="586"/>
    </row>
    <row r="91" spans="1:61">
      <c r="B91" s="207"/>
      <c r="C91" s="137"/>
      <c r="D91" s="163"/>
      <c r="E91" s="168"/>
      <c r="F91" s="168"/>
      <c r="G91" s="265"/>
      <c r="H91" s="209"/>
      <c r="I91" s="209"/>
      <c r="J91" s="209"/>
      <c r="K91" s="210"/>
      <c r="L91" s="326"/>
      <c r="M91" s="218"/>
      <c r="N91" s="168"/>
      <c r="O91" s="160"/>
      <c r="P91" s="160"/>
      <c r="Q91" s="160"/>
      <c r="R91" s="160"/>
      <c r="S91" s="211"/>
      <c r="T91" s="209"/>
      <c r="U91" s="1013"/>
      <c r="V91" s="209"/>
      <c r="W91" s="209"/>
      <c r="X91" s="1013"/>
      <c r="Y91" s="299"/>
      <c r="Z91" s="274"/>
      <c r="AA91" s="274"/>
      <c r="AB91" s="213"/>
      <c r="AC91" s="209"/>
      <c r="AD91" s="209"/>
      <c r="AE91" s="424"/>
      <c r="AF91" s="1051"/>
      <c r="AG91" s="1046"/>
      <c r="AH91" s="216"/>
      <c r="AI91" s="1002"/>
      <c r="AJ91" s="217"/>
      <c r="AK91" s="585"/>
      <c r="AL91" s="217"/>
      <c r="AM91" s="160"/>
      <c r="AN91" s="910"/>
      <c r="AO91" s="216"/>
      <c r="AP91" s="214"/>
      <c r="AQ91" s="216"/>
      <c r="AR91" s="217"/>
      <c r="AS91" s="328"/>
      <c r="AT91" s="160"/>
      <c r="AU91" s="160"/>
      <c r="AV91" s="160"/>
      <c r="AW91" s="160"/>
      <c r="AX91" s="160"/>
      <c r="AY91" s="329"/>
      <c r="AZ91" s="296"/>
      <c r="BA91" s="213"/>
      <c r="BB91" s="1253">
        <f>BB90-(BC90-BC91)</f>
        <v>470.13750000000005</v>
      </c>
      <c r="BC91" s="1253">
        <f>1696.35/4</f>
        <v>424.08749999999998</v>
      </c>
      <c r="BD91" s="1150"/>
      <c r="BE91" s="1110"/>
      <c r="BF91" s="1124"/>
      <c r="BG91" s="570"/>
    </row>
    <row r="92" spans="1:61" s="149" customFormat="1">
      <c r="A92" s="1269"/>
      <c r="B92" s="85" t="s">
        <v>423</v>
      </c>
      <c r="C92" s="158"/>
      <c r="D92" s="165"/>
      <c r="E92" s="29" t="s">
        <v>109</v>
      </c>
      <c r="F92" s="115" t="s">
        <v>406</v>
      </c>
      <c r="G92" s="264" t="s">
        <v>85</v>
      </c>
      <c r="H92" s="117" t="s">
        <v>11</v>
      </c>
      <c r="I92" s="118" t="s">
        <v>146</v>
      </c>
      <c r="J92" s="117" t="s">
        <v>414</v>
      </c>
      <c r="K92" s="12" t="s">
        <v>112</v>
      </c>
      <c r="L92" s="336">
        <v>15.77</v>
      </c>
      <c r="M92" s="204"/>
      <c r="N92" s="41">
        <f>L92+M92</f>
        <v>15.77</v>
      </c>
      <c r="O92" s="115"/>
      <c r="P92" s="115">
        <f>N92</f>
        <v>15.77</v>
      </c>
      <c r="Q92" s="115" t="s">
        <v>171</v>
      </c>
      <c r="R92" s="115"/>
      <c r="S92" s="179"/>
      <c r="T92" s="32">
        <v>20</v>
      </c>
      <c r="U92" s="1052">
        <f>T92/'Grondslag bouw &amp; infra'!$B$50</f>
        <v>7.662835249042145E-2</v>
      </c>
      <c r="V92" s="79">
        <v>5</v>
      </c>
      <c r="W92" s="80">
        <v>0</v>
      </c>
      <c r="X92" s="1052">
        <f>(V92+W92)/'Grondslag bouw &amp; infra'!$B$50</f>
        <v>1.9157088122605363E-2</v>
      </c>
      <c r="Y92" s="298"/>
      <c r="Z92" s="433"/>
      <c r="AA92" s="467"/>
      <c r="AB92" s="470"/>
      <c r="AC92" s="32">
        <v>5</v>
      </c>
      <c r="AD92" s="79">
        <v>15</v>
      </c>
      <c r="AE92" s="80">
        <v>0</v>
      </c>
      <c r="AF92" s="1086">
        <f>(AC92+AD92+AE92)/'Grondslag bouw &amp; infra'!$B$50</f>
        <v>7.662835249042145E-2</v>
      </c>
      <c r="AG92" s="1040"/>
      <c r="AH92" s="522">
        <f>(AQ92-'Grondslag bouw &amp; infra'!$B$46)*'Grondslag bouw &amp; infra'!$B$43</f>
        <v>0.22599207541651348</v>
      </c>
      <c r="AI92" s="1001">
        <v>3.6499999999999998E-2</v>
      </c>
      <c r="AJ92" s="346"/>
      <c r="AK92" s="1008"/>
      <c r="AL92" s="346"/>
      <c r="AM92" s="138">
        <v>0</v>
      </c>
      <c r="AN92" s="904"/>
      <c r="AO92" s="116"/>
      <c r="AP92" s="141"/>
      <c r="AQ92" s="30">
        <f>(P92*(AF92+AI92)+P92)</f>
        <v>17.554034118773945</v>
      </c>
      <c r="AR92" s="346"/>
      <c r="AS92" s="115"/>
      <c r="AT92" s="115"/>
      <c r="AU92" s="115"/>
      <c r="AV92" s="29">
        <v>0.68</v>
      </c>
      <c r="AW92" s="29">
        <v>1.1000000000000001</v>
      </c>
      <c r="AX92" s="29">
        <v>0.48</v>
      </c>
      <c r="AY92" s="30">
        <f>SUM(AS92:AX92)</f>
        <v>2.2600000000000002</v>
      </c>
      <c r="AZ92" s="29" t="s">
        <v>445</v>
      </c>
      <c r="BA92" s="179"/>
      <c r="BB92" s="881">
        <v>738</v>
      </c>
      <c r="BC92" s="881">
        <f>2517.42/4</f>
        <v>629.35500000000002</v>
      </c>
      <c r="BD92" s="419">
        <f>(BB92-(AY92*5))*(1-1%)</f>
        <v>719.43299999999999</v>
      </c>
      <c r="BE92" s="30">
        <f>BD92</f>
        <v>719.43299999999999</v>
      </c>
      <c r="BF92" s="1117">
        <f>BD92</f>
        <v>719.43299999999999</v>
      </c>
      <c r="BG92" s="569"/>
      <c r="BH92" s="289"/>
      <c r="BI92" s="586"/>
    </row>
    <row r="93" spans="1:61">
      <c r="B93" s="86"/>
      <c r="C93" s="28"/>
      <c r="D93" s="164"/>
      <c r="E93" s="29"/>
      <c r="F93" s="29"/>
      <c r="G93" s="263"/>
      <c r="H93" s="8"/>
      <c r="I93" s="8"/>
      <c r="J93" s="8"/>
      <c r="K93" s="7"/>
      <c r="L93" s="324"/>
      <c r="M93" s="38"/>
      <c r="N93" s="29"/>
      <c r="O93" s="9"/>
      <c r="P93" s="9"/>
      <c r="Q93" s="9"/>
      <c r="R93" s="9"/>
      <c r="S93" s="76"/>
      <c r="T93" s="8"/>
      <c r="U93" s="1011"/>
      <c r="V93" s="8"/>
      <c r="W93" s="8"/>
      <c r="X93" s="1011"/>
      <c r="Z93" s="35"/>
      <c r="AA93" s="35"/>
      <c r="AB93" s="45"/>
      <c r="AC93" s="8"/>
      <c r="AD93" s="8"/>
      <c r="AE93" s="25"/>
      <c r="AF93" s="1050"/>
      <c r="AG93" s="1039"/>
      <c r="AZ93" s="143"/>
      <c r="BG93" s="568"/>
    </row>
    <row r="94" spans="1:61">
      <c r="B94" s="207"/>
      <c r="C94" s="137"/>
      <c r="D94" s="163"/>
      <c r="E94" s="168"/>
      <c r="F94" s="168"/>
      <c r="G94" s="265"/>
      <c r="H94" s="209"/>
      <c r="I94" s="209"/>
      <c r="J94" s="209"/>
      <c r="K94" s="210"/>
      <c r="L94" s="326"/>
      <c r="M94" s="218"/>
      <c r="N94" s="168"/>
      <c r="O94" s="160"/>
      <c r="P94" s="160"/>
      <c r="Q94" s="160"/>
      <c r="R94" s="160"/>
      <c r="S94" s="211"/>
      <c r="T94" s="209"/>
      <c r="U94" s="1013"/>
      <c r="V94" s="209"/>
      <c r="W94" s="209"/>
      <c r="X94" s="1013"/>
      <c r="Y94" s="299"/>
      <c r="Z94" s="274"/>
      <c r="AA94" s="274"/>
      <c r="AB94" s="213"/>
      <c r="AC94" s="209"/>
      <c r="AD94" s="209"/>
      <c r="AE94" s="424"/>
      <c r="AF94" s="1051"/>
      <c r="AG94" s="1046"/>
      <c r="AH94" s="216"/>
      <c r="AI94" s="1002"/>
      <c r="AJ94" s="217"/>
      <c r="AK94" s="585"/>
      <c r="AL94" s="217"/>
      <c r="AM94" s="160"/>
      <c r="AN94" s="910"/>
      <c r="AO94" s="216"/>
      <c r="AP94" s="214"/>
      <c r="AQ94" s="216"/>
      <c r="AR94" s="217"/>
      <c r="AS94" s="328"/>
      <c r="AT94" s="160"/>
      <c r="AU94" s="160"/>
      <c r="AV94" s="160"/>
      <c r="AW94" s="160"/>
      <c r="AX94" s="160"/>
      <c r="AY94" s="329"/>
      <c r="AZ94" s="296"/>
      <c r="BA94" s="213"/>
      <c r="BB94" s="887"/>
      <c r="BC94" s="887"/>
      <c r="BD94" s="886"/>
      <c r="BE94" s="1110"/>
      <c r="BF94" s="1124"/>
      <c r="BG94" s="570"/>
    </row>
    <row r="95" spans="1:61" s="175" customFormat="1">
      <c r="A95" s="1269"/>
      <c r="B95" s="1155" t="s">
        <v>399</v>
      </c>
      <c r="C95" s="477"/>
      <c r="D95" s="362"/>
      <c r="E95" s="186"/>
      <c r="F95" s="186"/>
      <c r="G95" s="476"/>
      <c r="H95" s="477"/>
      <c r="I95" s="475"/>
      <c r="J95" s="477"/>
      <c r="K95" s="604"/>
      <c r="L95" s="516"/>
      <c r="M95" s="186"/>
      <c r="N95" s="362"/>
      <c r="O95" s="186"/>
      <c r="P95" s="186"/>
      <c r="Q95" s="186"/>
      <c r="R95" s="186"/>
      <c r="S95" s="478"/>
      <c r="T95" s="475"/>
      <c r="U95" s="1019"/>
      <c r="V95" s="475"/>
      <c r="W95" s="475"/>
      <c r="X95" s="1025"/>
      <c r="Y95" s="517"/>
      <c r="Z95" s="525"/>
      <c r="AA95" s="526"/>
      <c r="AB95" s="478"/>
      <c r="AC95" s="475"/>
      <c r="AD95" s="475"/>
      <c r="AE95" s="475"/>
      <c r="AF95" s="1055"/>
      <c r="AG95" s="517"/>
      <c r="AH95" s="1098"/>
      <c r="AI95" s="1001"/>
      <c r="AJ95" s="480"/>
      <c r="AK95" s="186"/>
      <c r="AL95" s="480"/>
      <c r="AM95" s="186"/>
      <c r="AN95" s="914"/>
      <c r="AO95" s="362"/>
      <c r="AP95" s="479"/>
      <c r="AQ95" s="105"/>
      <c r="AR95" s="480"/>
      <c r="AS95" s="186"/>
      <c r="AT95" s="186"/>
      <c r="AU95" s="186"/>
      <c r="AV95" s="186"/>
      <c r="AW95" s="186"/>
      <c r="AX95" s="186"/>
      <c r="AY95" s="362"/>
      <c r="AZ95" s="186"/>
      <c r="BA95" s="478"/>
      <c r="BB95" s="362"/>
      <c r="BC95" s="362"/>
      <c r="BD95" s="105"/>
      <c r="BE95" s="362"/>
      <c r="BF95" s="105"/>
      <c r="BG95" s="966"/>
      <c r="BI95" s="967"/>
    </row>
    <row r="96" spans="1:61">
      <c r="B96" s="86"/>
      <c r="C96" s="28"/>
      <c r="D96" s="164"/>
      <c r="E96" s="29"/>
      <c r="F96" s="29"/>
      <c r="G96" s="263"/>
      <c r="H96" s="8"/>
      <c r="I96" s="8"/>
      <c r="J96" s="8"/>
      <c r="K96" s="7"/>
      <c r="L96" s="324"/>
      <c r="M96" s="38"/>
      <c r="N96" s="29"/>
      <c r="O96" s="9"/>
      <c r="P96" s="9"/>
      <c r="Q96" s="9"/>
      <c r="R96" s="9"/>
      <c r="S96" s="76"/>
      <c r="T96" s="8"/>
      <c r="U96" s="1011"/>
      <c r="V96" s="8"/>
      <c r="W96" s="8"/>
      <c r="X96" s="1011"/>
      <c r="Z96" s="35"/>
      <c r="AA96" s="35"/>
      <c r="AB96" s="45"/>
      <c r="AC96" s="8"/>
      <c r="AD96" s="8"/>
      <c r="AE96" s="25"/>
      <c r="AF96" s="1050"/>
      <c r="AG96" s="1039"/>
      <c r="AZ96" s="143"/>
      <c r="BG96" s="568"/>
    </row>
    <row r="97" spans="1:61">
      <c r="B97" s="207"/>
      <c r="C97" s="137"/>
      <c r="D97" s="163"/>
      <c r="E97" s="168"/>
      <c r="F97" s="168"/>
      <c r="G97" s="265"/>
      <c r="H97" s="209"/>
      <c r="I97" s="209"/>
      <c r="J97" s="209"/>
      <c r="K97" s="210"/>
      <c r="L97" s="326"/>
      <c r="M97" s="218"/>
      <c r="N97" s="168"/>
      <c r="O97" s="160"/>
      <c r="P97" s="160"/>
      <c r="Q97" s="160"/>
      <c r="R97" s="160"/>
      <c r="S97" s="211"/>
      <c r="T97" s="209"/>
      <c r="U97" s="1013"/>
      <c r="V97" s="209"/>
      <c r="W97" s="209"/>
      <c r="X97" s="1013"/>
      <c r="Y97" s="299"/>
      <c r="Z97" s="274"/>
      <c r="AA97" s="274"/>
      <c r="AB97" s="213"/>
      <c r="AC97" s="209"/>
      <c r="AD97" s="209"/>
      <c r="AE97" s="424"/>
      <c r="AF97" s="1051"/>
      <c r="AG97" s="1046"/>
      <c r="AH97" s="216"/>
      <c r="AI97" s="1002"/>
      <c r="AJ97" s="217"/>
      <c r="AK97" s="585"/>
      <c r="AL97" s="217"/>
      <c r="AM97" s="160"/>
      <c r="AN97" s="910"/>
      <c r="AO97" s="216"/>
      <c r="AP97" s="214"/>
      <c r="AQ97" s="216"/>
      <c r="AR97" s="217"/>
      <c r="AS97" s="328"/>
      <c r="AT97" s="160"/>
      <c r="AU97" s="160"/>
      <c r="AV97" s="160"/>
      <c r="AW97" s="160"/>
      <c r="AX97" s="160"/>
      <c r="AY97" s="329"/>
      <c r="AZ97" s="296"/>
      <c r="BA97" s="213"/>
      <c r="BB97" s="887"/>
      <c r="BC97" s="887"/>
      <c r="BD97" s="886"/>
      <c r="BE97" s="1110"/>
      <c r="BF97" s="1124"/>
      <c r="BG97" s="570"/>
    </row>
    <row r="98" spans="1:61" s="951" customFormat="1">
      <c r="A98" s="1269"/>
      <c r="B98" s="935"/>
      <c r="C98" s="954"/>
      <c r="D98" s="937"/>
      <c r="E98" s="938"/>
      <c r="F98" s="938"/>
      <c r="G98" s="939"/>
      <c r="H98" s="936"/>
      <c r="I98" s="940"/>
      <c r="J98" s="936"/>
      <c r="K98" s="941"/>
      <c r="L98" s="942"/>
      <c r="M98" s="938"/>
      <c r="N98" s="937"/>
      <c r="O98" s="938"/>
      <c r="P98" s="938"/>
      <c r="Q98" s="955"/>
      <c r="R98" s="938"/>
      <c r="S98" s="943"/>
      <c r="T98" s="940"/>
      <c r="U98" s="1027"/>
      <c r="V98" s="940"/>
      <c r="W98" s="940"/>
      <c r="X98" s="1027"/>
      <c r="Y98" s="926"/>
      <c r="Z98" s="945"/>
      <c r="AA98" s="946"/>
      <c r="AB98" s="943"/>
      <c r="AC98" s="940"/>
      <c r="AD98" s="940"/>
      <c r="AE98" s="940"/>
      <c r="AF98" s="1065"/>
      <c r="AG98" s="926"/>
      <c r="AH98" s="1106"/>
      <c r="AI98" s="1001"/>
      <c r="AJ98" s="947"/>
      <c r="AK98" s="938"/>
      <c r="AL98" s="947"/>
      <c r="AM98" s="938"/>
      <c r="AN98" s="948"/>
      <c r="AO98" s="937"/>
      <c r="AP98" s="944"/>
      <c r="AQ98" s="937"/>
      <c r="AR98" s="947"/>
      <c r="AS98" s="949"/>
      <c r="AT98" s="938"/>
      <c r="AU98" s="938"/>
      <c r="AV98" s="938"/>
      <c r="AW98" s="938"/>
      <c r="AX98" s="938"/>
      <c r="AY98" s="953"/>
      <c r="AZ98" s="956"/>
      <c r="BA98" s="943"/>
      <c r="BB98" s="937"/>
      <c r="BC98" s="937"/>
      <c r="BD98" s="937"/>
      <c r="BE98" s="953"/>
      <c r="BF98" s="937"/>
      <c r="BG98" s="957"/>
      <c r="BI98" s="952"/>
    </row>
    <row r="99" spans="1:61" s="149" customFormat="1">
      <c r="A99" s="289"/>
      <c r="B99" s="86" t="s">
        <v>403</v>
      </c>
      <c r="C99" s="431"/>
      <c r="D99" s="164"/>
      <c r="E99" s="29" t="s">
        <v>109</v>
      </c>
      <c r="F99" s="29" t="s">
        <v>406</v>
      </c>
      <c r="G99" s="263" t="s">
        <v>85</v>
      </c>
      <c r="H99" s="8" t="s">
        <v>10</v>
      </c>
      <c r="I99" s="32" t="s">
        <v>363</v>
      </c>
      <c r="J99" s="8" t="s">
        <v>174</v>
      </c>
      <c r="K99" s="7" t="s">
        <v>173</v>
      </c>
      <c r="L99" s="333">
        <v>19.190000000000001</v>
      </c>
      <c r="M99" s="38"/>
      <c r="N99" s="30">
        <f>L99+M99</f>
        <v>19.190000000000001</v>
      </c>
      <c r="O99" s="29"/>
      <c r="P99" s="29">
        <f>N99+O99</f>
        <v>19.190000000000001</v>
      </c>
      <c r="Q99" s="29" t="s">
        <v>171</v>
      </c>
      <c r="R99" s="29"/>
      <c r="S99" s="470"/>
      <c r="T99" s="32">
        <v>20</v>
      </c>
      <c r="U99" s="1052">
        <f>T99/'Grondslag bouw &amp; infra'!$B$50</f>
        <v>7.662835249042145E-2</v>
      </c>
      <c r="V99" s="79">
        <v>0</v>
      </c>
      <c r="W99" s="80">
        <v>0</v>
      </c>
      <c r="X99" s="1052">
        <f>(V99+W99)/'Grondslag bouw &amp; infra'!$B$50</f>
        <v>0</v>
      </c>
      <c r="Y99" s="298"/>
      <c r="Z99" s="433"/>
      <c r="AA99" s="467"/>
      <c r="AB99" s="470"/>
      <c r="AC99" s="32">
        <v>5</v>
      </c>
      <c r="AD99" s="79">
        <v>15</v>
      </c>
      <c r="AE99" s="80">
        <v>0</v>
      </c>
      <c r="AF99" s="1086">
        <f>(AC99+AD99+AE99)/'Grondslag bouw &amp; infra'!$B$50</f>
        <v>7.662835249042145E-2</v>
      </c>
      <c r="AG99" s="1041"/>
      <c r="AH99" s="522">
        <f>(AQ99-'Grondslag bouw &amp; infra'!$B$46)*'Grondslag bouw &amp; infra'!$B$44</f>
        <v>0.17313582655831419</v>
      </c>
      <c r="AI99" s="1001">
        <v>2.3E-2</v>
      </c>
      <c r="AJ99" s="471"/>
      <c r="AK99" s="1008"/>
      <c r="AL99" s="471"/>
      <c r="AM99" s="9">
        <f>$AN$6*AN99</f>
        <v>0</v>
      </c>
      <c r="AN99" s="180"/>
      <c r="AO99" s="34"/>
      <c r="AP99" s="31"/>
      <c r="AQ99" s="30">
        <f>(P99*(AF99+AI99)+P99)</f>
        <v>21.101868084291191</v>
      </c>
      <c r="AR99" s="471"/>
      <c r="AS99" s="29"/>
      <c r="AT99" s="29"/>
      <c r="AU99" s="29"/>
      <c r="AV99" s="29">
        <v>0.68</v>
      </c>
      <c r="AW99" s="29">
        <v>1.1000000000000001</v>
      </c>
      <c r="AX99" s="29">
        <v>0.48</v>
      </c>
      <c r="AY99" s="30">
        <f>SUM(AS99:AX99)</f>
        <v>2.2600000000000002</v>
      </c>
      <c r="AZ99" s="29">
        <v>0.23</v>
      </c>
      <c r="BA99" s="470"/>
      <c r="BB99" s="419">
        <f>1036.11-108.1</f>
        <v>928.00999999999988</v>
      </c>
      <c r="BC99" s="419">
        <f>2852.16/4</f>
        <v>713.04</v>
      </c>
      <c r="BD99" s="419">
        <f>(BB99-(AY99*5))*(1-1%)</f>
        <v>907.54289999999992</v>
      </c>
      <c r="BE99" s="30">
        <f>BD99</f>
        <v>907.54289999999992</v>
      </c>
      <c r="BF99" s="1118">
        <f>BD99</f>
        <v>907.54289999999992</v>
      </c>
      <c r="BG99" s="572"/>
      <c r="BH99" s="289"/>
      <c r="BI99" s="586"/>
    </row>
    <row r="100" spans="1:61">
      <c r="B100" s="207"/>
      <c r="C100" s="137"/>
      <c r="D100" s="163"/>
      <c r="E100" s="168"/>
      <c r="F100" s="168"/>
      <c r="G100" s="265"/>
      <c r="H100" s="208"/>
      <c r="I100" s="208"/>
      <c r="J100" s="209"/>
      <c r="K100" s="210"/>
      <c r="L100" s="326"/>
      <c r="M100" s="218"/>
      <c r="N100" s="168"/>
      <c r="O100" s="160"/>
      <c r="P100" s="160"/>
      <c r="Q100" s="160"/>
      <c r="R100" s="160"/>
      <c r="S100" s="211"/>
      <c r="T100" s="209"/>
      <c r="U100" s="1013"/>
      <c r="V100" s="209"/>
      <c r="W100" s="209"/>
      <c r="X100" s="1013"/>
      <c r="Y100" s="299"/>
      <c r="Z100" s="274"/>
      <c r="AA100" s="317"/>
      <c r="AB100" s="213"/>
      <c r="AC100" s="208"/>
      <c r="AD100" s="208"/>
      <c r="AE100" s="215"/>
      <c r="AF100" s="1051"/>
      <c r="AG100" s="1045"/>
      <c r="AH100" s="216"/>
      <c r="AI100" s="1002"/>
      <c r="AJ100" s="217"/>
      <c r="AK100" s="585"/>
      <c r="AL100" s="217"/>
      <c r="AM100" s="160"/>
      <c r="AN100" s="910"/>
      <c r="AO100" s="216"/>
      <c r="AP100" s="214"/>
      <c r="AQ100" s="216"/>
      <c r="AR100" s="217"/>
      <c r="AS100" s="328"/>
      <c r="AT100" s="160"/>
      <c r="AU100" s="160"/>
      <c r="AV100" s="160"/>
      <c r="AW100" s="160"/>
      <c r="AX100" s="160"/>
      <c r="AY100" s="329"/>
      <c r="AZ100" s="296"/>
      <c r="BA100" s="213"/>
      <c r="BB100" s="887"/>
      <c r="BC100" s="887"/>
      <c r="BD100" s="886"/>
      <c r="BE100" s="1110"/>
      <c r="BF100" s="1124"/>
      <c r="BG100" s="570"/>
      <c r="BH100" s="289"/>
    </row>
    <row r="101" spans="1:61" s="951" customFormat="1">
      <c r="A101" s="1269"/>
      <c r="B101" s="86"/>
      <c r="C101" s="936"/>
      <c r="D101" s="937"/>
      <c r="E101" s="29"/>
      <c r="F101" s="115"/>
      <c r="G101" s="264"/>
      <c r="H101" s="117"/>
      <c r="I101" s="118"/>
      <c r="J101" s="117"/>
      <c r="K101" s="12"/>
      <c r="L101" s="336"/>
      <c r="M101" s="204"/>
      <c r="N101" s="41"/>
      <c r="O101" s="115"/>
      <c r="P101" s="115"/>
      <c r="Q101" s="115"/>
      <c r="R101" s="938"/>
      <c r="S101" s="943"/>
      <c r="T101" s="32"/>
      <c r="U101" s="1052"/>
      <c r="V101" s="79"/>
      <c r="W101" s="80"/>
      <c r="X101" s="1052"/>
      <c r="Y101" s="926"/>
      <c r="Z101" s="945"/>
      <c r="AA101" s="946"/>
      <c r="AB101" s="943"/>
      <c r="AC101" s="32"/>
      <c r="AD101" s="79"/>
      <c r="AE101" s="80"/>
      <c r="AF101" s="1086"/>
      <c r="AG101" s="926"/>
      <c r="AH101" s="1106"/>
      <c r="AI101" s="1001"/>
      <c r="AJ101" s="947"/>
      <c r="AK101" s="938"/>
      <c r="AL101" s="947"/>
      <c r="AM101" s="938"/>
      <c r="AN101" s="948"/>
      <c r="AO101" s="937"/>
      <c r="AP101" s="944"/>
      <c r="AQ101" s="937"/>
      <c r="AR101" s="947"/>
      <c r="AS101" s="949"/>
      <c r="AT101" s="938"/>
      <c r="AU101" s="938"/>
      <c r="AV101" s="938"/>
      <c r="AW101" s="938"/>
      <c r="AX101" s="938"/>
      <c r="AY101" s="937"/>
      <c r="AZ101" s="936"/>
      <c r="BA101" s="943"/>
      <c r="BB101" s="937"/>
      <c r="BC101" s="937"/>
      <c r="BD101" s="937"/>
      <c r="BE101" s="953"/>
      <c r="BF101" s="937"/>
      <c r="BG101" s="950"/>
      <c r="BI101" s="952"/>
    </row>
    <row r="102" spans="1:61">
      <c r="C102" s="28"/>
      <c r="D102" s="164"/>
      <c r="E102" s="29"/>
      <c r="F102" s="29"/>
      <c r="G102" s="263"/>
      <c r="H102" s="143"/>
      <c r="I102" s="32"/>
      <c r="J102" s="8"/>
      <c r="K102" s="7"/>
      <c r="L102" s="324"/>
      <c r="M102" s="38"/>
      <c r="N102" s="30"/>
      <c r="O102" s="29"/>
      <c r="P102" s="29"/>
      <c r="Q102" s="29"/>
      <c r="R102" s="29"/>
      <c r="S102" s="76"/>
      <c r="T102" s="32"/>
      <c r="U102" s="1016"/>
      <c r="V102" s="79"/>
      <c r="W102" s="80"/>
      <c r="X102" s="1016"/>
      <c r="Z102" s="35"/>
      <c r="AA102" s="316"/>
      <c r="AB102" s="45"/>
      <c r="AC102" s="32"/>
      <c r="AD102" s="79"/>
      <c r="AE102" s="80"/>
      <c r="AF102" s="1052"/>
      <c r="AG102" s="1041"/>
      <c r="AH102" s="522"/>
      <c r="AJ102" s="47"/>
      <c r="AL102" s="47"/>
      <c r="AO102" s="34"/>
      <c r="AQ102" s="706"/>
      <c r="AR102" s="47"/>
      <c r="AS102" s="43"/>
      <c r="AT102" s="29"/>
      <c r="AU102" s="29"/>
      <c r="AZ102" s="143"/>
      <c r="BB102" s="419"/>
      <c r="BC102" s="419"/>
      <c r="BD102" s="419"/>
      <c r="BE102" s="30"/>
      <c r="BF102" s="1118"/>
      <c r="BG102" s="579"/>
      <c r="BH102" s="289"/>
    </row>
    <row r="103" spans="1:61">
      <c r="B103" s="207"/>
      <c r="C103" s="137"/>
      <c r="D103" s="163"/>
      <c r="E103" s="168"/>
      <c r="F103" s="168"/>
      <c r="G103" s="265"/>
      <c r="H103" s="208"/>
      <c r="I103" s="208"/>
      <c r="J103" s="209"/>
      <c r="K103" s="210"/>
      <c r="L103" s="326"/>
      <c r="M103" s="218"/>
      <c r="N103" s="168"/>
      <c r="O103" s="160"/>
      <c r="P103" s="160"/>
      <c r="Q103" s="160"/>
      <c r="R103" s="160"/>
      <c r="S103" s="211"/>
      <c r="T103" s="209"/>
      <c r="U103" s="1013"/>
      <c r="V103" s="209"/>
      <c r="W103" s="209"/>
      <c r="X103" s="1013"/>
      <c r="Y103" s="299"/>
      <c r="Z103" s="274"/>
      <c r="AA103" s="317"/>
      <c r="AB103" s="213"/>
      <c r="AC103" s="208"/>
      <c r="AD103" s="208"/>
      <c r="AE103" s="215"/>
      <c r="AF103" s="1051"/>
      <c r="AG103" s="1045"/>
      <c r="AH103" s="216"/>
      <c r="AI103" s="1002"/>
      <c r="AJ103" s="217"/>
      <c r="AK103" s="585"/>
      <c r="AL103" s="217"/>
      <c r="AM103" s="160"/>
      <c r="AN103" s="910"/>
      <c r="AO103" s="216"/>
      <c r="AP103" s="214"/>
      <c r="AQ103" s="216"/>
      <c r="AR103" s="217"/>
      <c r="AS103" s="328"/>
      <c r="AT103" s="160"/>
      <c r="AU103" s="160"/>
      <c r="AV103" s="160"/>
      <c r="AW103" s="160"/>
      <c r="AX103" s="160"/>
      <c r="AY103" s="329"/>
      <c r="AZ103" s="296"/>
      <c r="BA103" s="213"/>
      <c r="BB103" s="887"/>
      <c r="BC103" s="887"/>
      <c r="BD103" s="886"/>
      <c r="BE103" s="1110"/>
      <c r="BF103" s="1121"/>
      <c r="BG103" s="577"/>
      <c r="BH103" s="289"/>
    </row>
    <row r="104" spans="1:61" s="149" customFormat="1">
      <c r="A104" s="1269"/>
      <c r="B104" s="86" t="s">
        <v>178</v>
      </c>
      <c r="C104" s="143"/>
      <c r="D104" s="164">
        <f>240.67</f>
        <v>240.67</v>
      </c>
      <c r="E104" s="29" t="s">
        <v>91</v>
      </c>
      <c r="F104" s="29" t="s">
        <v>118</v>
      </c>
      <c r="G104" s="263" t="s">
        <v>122</v>
      </c>
      <c r="H104" s="8" t="s">
        <v>11</v>
      </c>
      <c r="I104" s="32" t="s">
        <v>111</v>
      </c>
      <c r="J104" s="8" t="s">
        <v>90</v>
      </c>
      <c r="K104" s="7" t="s">
        <v>112</v>
      </c>
      <c r="L104" s="333">
        <v>18.95</v>
      </c>
      <c r="M104" s="38"/>
      <c r="N104" s="30">
        <f>L104+M104</f>
        <v>18.95</v>
      </c>
      <c r="O104" s="29"/>
      <c r="P104" s="29">
        <f>N104+O104</f>
        <v>18.95</v>
      </c>
      <c r="Q104" s="29"/>
      <c r="R104" s="29"/>
      <c r="S104" s="470"/>
      <c r="T104" s="32">
        <v>20</v>
      </c>
      <c r="U104" s="1052">
        <f>T104/'Grondslag bouw &amp; infra'!$B$50</f>
        <v>7.662835249042145E-2</v>
      </c>
      <c r="V104" s="79">
        <v>20</v>
      </c>
      <c r="W104" s="80">
        <v>0</v>
      </c>
      <c r="X104" s="1052">
        <f>(V104+W104)/'Grondslag bouw &amp; infra'!$B$50</f>
        <v>7.662835249042145E-2</v>
      </c>
      <c r="Y104" s="298"/>
      <c r="Z104" s="433"/>
      <c r="AA104" s="467"/>
      <c r="AB104" s="470"/>
      <c r="AC104" s="32">
        <v>5</v>
      </c>
      <c r="AD104" s="79">
        <v>0</v>
      </c>
      <c r="AE104" s="80">
        <v>0</v>
      </c>
      <c r="AF104" s="1086">
        <f>(AC104+AD104+AE104)/'Grondslag bouw &amp; infra'!$B$50</f>
        <v>1.9157088122605363E-2</v>
      </c>
      <c r="AG104" s="1041"/>
      <c r="AH104" s="522"/>
      <c r="AI104" s="1001">
        <v>3.6499999999999998E-2</v>
      </c>
      <c r="AJ104" s="471"/>
      <c r="AK104" s="1009"/>
      <c r="AL104" s="471"/>
      <c r="AM104" s="9">
        <f>$AN$6*AN104</f>
        <v>0</v>
      </c>
      <c r="AN104" s="180"/>
      <c r="AO104" s="34"/>
      <c r="AP104" s="31"/>
      <c r="AQ104" s="30">
        <f>(P104*(AF104+AI104)+P104)</f>
        <v>20.004701819923369</v>
      </c>
      <c r="AR104" s="471"/>
      <c r="AS104" s="43"/>
      <c r="AT104" s="29">
        <v>0.96</v>
      </c>
      <c r="AU104" s="29"/>
      <c r="AV104" s="29">
        <v>0.68</v>
      </c>
      <c r="AW104" s="29">
        <v>1.1000000000000001</v>
      </c>
      <c r="AX104" s="29">
        <v>0.48</v>
      </c>
      <c r="AY104" s="30">
        <f>SUM(AS104:AX104)</f>
        <v>3.22</v>
      </c>
      <c r="AZ104" s="29" t="s">
        <v>210</v>
      </c>
      <c r="BA104" s="470"/>
      <c r="BB104" s="419">
        <f>687.5+7.78+9.9</f>
        <v>705.18</v>
      </c>
      <c r="BC104" s="419">
        <f>2556.05/4</f>
        <v>639.01250000000005</v>
      </c>
      <c r="BD104" s="419">
        <f>(BB104-(AY104*5))*(1-1%)</f>
        <v>682.18919999999991</v>
      </c>
      <c r="BE104" s="30">
        <f>BD104</f>
        <v>682.18919999999991</v>
      </c>
      <c r="BF104" s="1118">
        <f>BD104</f>
        <v>682.18919999999991</v>
      </c>
      <c r="BG104" s="572"/>
      <c r="BH104" s="289"/>
      <c r="BI104" s="586"/>
    </row>
    <row r="105" spans="1:61">
      <c r="B105" s="86"/>
      <c r="C105" s="28"/>
      <c r="D105" s="164"/>
      <c r="E105" s="29"/>
      <c r="F105" s="29"/>
      <c r="G105" s="263"/>
      <c r="H105" s="143"/>
      <c r="I105" s="32"/>
      <c r="J105" s="8"/>
      <c r="K105" s="7"/>
      <c r="L105" s="324"/>
      <c r="M105" s="38"/>
      <c r="N105" s="30"/>
      <c r="O105" s="29"/>
      <c r="P105" s="29"/>
      <c r="Q105" s="29"/>
      <c r="R105" s="29"/>
      <c r="S105" s="76"/>
      <c r="T105" s="32"/>
      <c r="U105" s="1016"/>
      <c r="V105" s="79"/>
      <c r="W105" s="80"/>
      <c r="X105" s="1016"/>
      <c r="Z105" s="35"/>
      <c r="AA105" s="316"/>
      <c r="AB105" s="45"/>
      <c r="AC105" s="32"/>
      <c r="AD105" s="79"/>
      <c r="AE105" s="80"/>
      <c r="AF105" s="1052"/>
      <c r="AG105" s="1041"/>
      <c r="AH105" s="522"/>
      <c r="AJ105" s="47"/>
      <c r="AL105" s="47"/>
      <c r="AO105" s="34"/>
      <c r="AQ105" s="706"/>
      <c r="AR105" s="47"/>
      <c r="AS105" s="43"/>
      <c r="AT105" s="29"/>
      <c r="AU105" s="29"/>
      <c r="AZ105" s="143"/>
      <c r="BB105" s="419"/>
      <c r="BC105" s="419"/>
      <c r="BD105" s="419"/>
      <c r="BE105" s="30"/>
      <c r="BF105" s="1118"/>
      <c r="BG105" s="579"/>
      <c r="BH105" s="289"/>
    </row>
    <row r="106" spans="1:61">
      <c r="B106" s="207"/>
      <c r="C106" s="137"/>
      <c r="D106" s="163"/>
      <c r="E106" s="168"/>
      <c r="F106" s="168"/>
      <c r="G106" s="265"/>
      <c r="H106" s="208"/>
      <c r="I106" s="208"/>
      <c r="J106" s="209"/>
      <c r="K106" s="210"/>
      <c r="L106" s="326"/>
      <c r="M106" s="218"/>
      <c r="N106" s="168"/>
      <c r="O106" s="160"/>
      <c r="P106" s="160"/>
      <c r="Q106" s="160"/>
      <c r="R106" s="160"/>
      <c r="S106" s="211"/>
      <c r="T106" s="209"/>
      <c r="U106" s="1013"/>
      <c r="V106" s="209"/>
      <c r="W106" s="209"/>
      <c r="X106" s="1013"/>
      <c r="Y106" s="299"/>
      <c r="Z106" s="274"/>
      <c r="AA106" s="317"/>
      <c r="AB106" s="213"/>
      <c r="AC106" s="208"/>
      <c r="AD106" s="208"/>
      <c r="AE106" s="215"/>
      <c r="AF106" s="1051"/>
      <c r="AG106" s="1045"/>
      <c r="AH106" s="216"/>
      <c r="AI106" s="1002"/>
      <c r="AJ106" s="217"/>
      <c r="AK106" s="585"/>
      <c r="AL106" s="217"/>
      <c r="AM106" s="160"/>
      <c r="AN106" s="910"/>
      <c r="AO106" s="216"/>
      <c r="AP106" s="214"/>
      <c r="AQ106" s="216"/>
      <c r="AR106" s="217"/>
      <c r="AS106" s="328"/>
      <c r="AT106" s="160"/>
      <c r="AU106" s="160"/>
      <c r="AV106" s="160"/>
      <c r="AW106" s="160"/>
      <c r="AX106" s="160"/>
      <c r="AY106" s="329"/>
      <c r="AZ106" s="296"/>
      <c r="BA106" s="213"/>
      <c r="BB106" s="887"/>
      <c r="BC106" s="887"/>
      <c r="BD106" s="886"/>
      <c r="BE106" s="1110"/>
      <c r="BF106" s="1121"/>
      <c r="BG106" s="577"/>
      <c r="BH106" s="289"/>
    </row>
    <row r="107" spans="1:61" s="149" customFormat="1">
      <c r="A107" s="1269"/>
      <c r="B107" s="86"/>
      <c r="C107" s="143"/>
      <c r="D107" s="164"/>
      <c r="E107" s="29"/>
      <c r="F107" s="29"/>
      <c r="G107" s="263"/>
      <c r="H107" s="8"/>
      <c r="I107" s="32"/>
      <c r="J107" s="8"/>
      <c r="K107" s="7"/>
      <c r="L107" s="333"/>
      <c r="M107" s="38"/>
      <c r="N107" s="30"/>
      <c r="O107" s="29"/>
      <c r="P107" s="29"/>
      <c r="Q107" s="29"/>
      <c r="R107" s="29"/>
      <c r="S107" s="470"/>
      <c r="T107" s="32"/>
      <c r="U107" s="1052"/>
      <c r="V107" s="79"/>
      <c r="W107" s="80"/>
      <c r="X107" s="1052"/>
      <c r="Y107" s="298"/>
      <c r="Z107" s="433"/>
      <c r="AA107" s="467"/>
      <c r="AB107" s="470"/>
      <c r="AC107" s="32"/>
      <c r="AD107" s="79"/>
      <c r="AE107" s="80"/>
      <c r="AF107" s="1086"/>
      <c r="AG107" s="1041"/>
      <c r="AH107" s="522"/>
      <c r="AI107" s="1001"/>
      <c r="AJ107" s="471"/>
      <c r="AK107" s="1008"/>
      <c r="AL107" s="471"/>
      <c r="AM107" s="9"/>
      <c r="AN107" s="180"/>
      <c r="AO107" s="34"/>
      <c r="AP107" s="31"/>
      <c r="AQ107" s="30"/>
      <c r="AR107" s="471"/>
      <c r="AS107" s="43"/>
      <c r="AT107" s="29"/>
      <c r="AU107" s="29"/>
      <c r="AV107" s="29"/>
      <c r="AW107" s="29"/>
      <c r="AX107" s="29"/>
      <c r="AY107" s="30"/>
      <c r="AZ107" s="143"/>
      <c r="BA107" s="470"/>
      <c r="BB107" s="419"/>
      <c r="BC107" s="419"/>
      <c r="BD107" s="419"/>
      <c r="BE107" s="30"/>
      <c r="BF107" s="1117"/>
      <c r="BG107" s="572"/>
      <c r="BH107" s="289"/>
      <c r="BI107" s="586"/>
    </row>
    <row r="108" spans="1:61">
      <c r="B108" s="86"/>
      <c r="C108" s="28"/>
      <c r="D108" s="164"/>
      <c r="E108" s="29"/>
      <c r="F108" s="29"/>
      <c r="G108" s="263"/>
      <c r="H108" s="143"/>
      <c r="I108" s="32"/>
      <c r="J108" s="8"/>
      <c r="K108" s="7"/>
      <c r="L108" s="324"/>
      <c r="M108" s="38"/>
      <c r="N108" s="30"/>
      <c r="O108" s="29"/>
      <c r="P108" s="29"/>
      <c r="Q108" s="29"/>
      <c r="R108" s="29"/>
      <c r="S108" s="76"/>
      <c r="T108" s="32"/>
      <c r="U108" s="1016"/>
      <c r="V108" s="79"/>
      <c r="W108" s="80"/>
      <c r="X108" s="1016"/>
      <c r="Z108" s="35"/>
      <c r="AA108" s="316"/>
      <c r="AB108" s="45"/>
      <c r="AC108" s="32"/>
      <c r="AD108" s="79"/>
      <c r="AE108" s="80"/>
      <c r="AF108" s="1052"/>
      <c r="AG108" s="1041"/>
      <c r="AH108" s="522"/>
      <c r="AJ108" s="47"/>
      <c r="AL108" s="47"/>
      <c r="AO108" s="34"/>
      <c r="AQ108" s="706"/>
      <c r="AR108" s="47"/>
      <c r="AS108" s="43"/>
      <c r="AT108" s="29"/>
      <c r="AU108" s="29"/>
      <c r="AZ108" s="143"/>
      <c r="BB108" s="419"/>
      <c r="BC108" s="419"/>
      <c r="BD108" s="419"/>
      <c r="BE108" s="30"/>
      <c r="BF108" s="1118"/>
      <c r="BG108" s="579"/>
      <c r="BH108" s="289"/>
    </row>
    <row r="109" spans="1:61">
      <c r="B109" s="207"/>
      <c r="C109" s="137"/>
      <c r="D109" s="163"/>
      <c r="E109" s="168"/>
      <c r="F109" s="168"/>
      <c r="G109" s="265"/>
      <c r="H109" s="208"/>
      <c r="I109" s="208"/>
      <c r="J109" s="209"/>
      <c r="K109" s="210"/>
      <c r="L109" s="326"/>
      <c r="M109" s="218"/>
      <c r="N109" s="168"/>
      <c r="O109" s="160"/>
      <c r="P109" s="160"/>
      <c r="Q109" s="160"/>
      <c r="R109" s="160"/>
      <c r="S109" s="211"/>
      <c r="T109" s="209"/>
      <c r="U109" s="1013"/>
      <c r="V109" s="209"/>
      <c r="W109" s="209"/>
      <c r="X109" s="1013"/>
      <c r="Y109" s="299"/>
      <c r="Z109" s="274"/>
      <c r="AA109" s="317"/>
      <c r="AB109" s="213"/>
      <c r="AC109" s="208"/>
      <c r="AD109" s="208"/>
      <c r="AE109" s="215"/>
      <c r="AF109" s="1051"/>
      <c r="AG109" s="1045"/>
      <c r="AH109" s="216"/>
      <c r="AI109" s="1002"/>
      <c r="AJ109" s="217"/>
      <c r="AK109" s="585"/>
      <c r="AL109" s="217"/>
      <c r="AM109" s="160"/>
      <c r="AN109" s="910"/>
      <c r="AO109" s="216"/>
      <c r="AP109" s="214"/>
      <c r="AQ109" s="216"/>
      <c r="AR109" s="217"/>
      <c r="AS109" s="328"/>
      <c r="AT109" s="160"/>
      <c r="AU109" s="160"/>
      <c r="AV109" s="160"/>
      <c r="AW109" s="160"/>
      <c r="AX109" s="160"/>
      <c r="AY109" s="329"/>
      <c r="AZ109" s="296"/>
      <c r="BA109" s="213"/>
      <c r="BB109" s="887"/>
      <c r="BC109" s="887"/>
      <c r="BD109" s="886"/>
      <c r="BE109" s="1110"/>
      <c r="BF109" s="1121"/>
      <c r="BG109" s="577"/>
      <c r="BH109" s="289"/>
    </row>
    <row r="110" spans="1:61" s="149" customFormat="1">
      <c r="A110" s="1269"/>
      <c r="B110" s="86" t="s">
        <v>179</v>
      </c>
      <c r="C110" s="143"/>
      <c r="D110" s="164"/>
      <c r="E110" s="29" t="s">
        <v>91</v>
      </c>
      <c r="F110" s="29" t="s">
        <v>118</v>
      </c>
      <c r="G110" s="263" t="s">
        <v>240</v>
      </c>
      <c r="H110" s="8" t="s">
        <v>11</v>
      </c>
      <c r="I110" s="32" t="s">
        <v>111</v>
      </c>
      <c r="J110" s="8" t="s">
        <v>90</v>
      </c>
      <c r="K110" s="7" t="s">
        <v>112</v>
      </c>
      <c r="L110" s="333">
        <v>18.95</v>
      </c>
      <c r="M110" s="38">
        <v>0.6</v>
      </c>
      <c r="N110" s="30">
        <f>L110+M110</f>
        <v>19.55</v>
      </c>
      <c r="O110" s="29"/>
      <c r="P110" s="29">
        <f>N110+O110</f>
        <v>19.55</v>
      </c>
      <c r="Q110" s="29" t="s">
        <v>171</v>
      </c>
      <c r="R110" s="29"/>
      <c r="S110" s="470"/>
      <c r="T110" s="32">
        <v>20</v>
      </c>
      <c r="U110" s="1052">
        <f>T110/'Grondslag bouw &amp; infra'!$B$50</f>
        <v>7.662835249042145E-2</v>
      </c>
      <c r="V110" s="79">
        <v>0</v>
      </c>
      <c r="W110" s="80">
        <v>0</v>
      </c>
      <c r="X110" s="1052">
        <f>(V110+W110)/'Grondslag bouw &amp; infra'!$B$50</f>
        <v>0</v>
      </c>
      <c r="Y110" s="298"/>
      <c r="Z110" s="433"/>
      <c r="AA110" s="467"/>
      <c r="AB110" s="470"/>
      <c r="AC110" s="32">
        <v>5</v>
      </c>
      <c r="AD110" s="79">
        <v>20</v>
      </c>
      <c r="AE110" s="80">
        <v>0</v>
      </c>
      <c r="AF110" s="1086">
        <f>(AC110+AD110+AE110)/'Grondslag bouw &amp; infra'!$B$50</f>
        <v>9.5785440613026823E-2</v>
      </c>
      <c r="AG110" s="1041"/>
      <c r="AH110" s="522"/>
      <c r="AI110" s="1001">
        <v>3.6499999999999998E-2</v>
      </c>
      <c r="AJ110" s="471"/>
      <c r="AK110" s="1008"/>
      <c r="AL110" s="471"/>
      <c r="AM110" s="9">
        <f>$AN$6*AN110</f>
        <v>0</v>
      </c>
      <c r="AN110" s="180"/>
      <c r="AO110" s="34"/>
      <c r="AP110" s="31"/>
      <c r="AQ110" s="30"/>
      <c r="AR110" s="471"/>
      <c r="AS110" s="43"/>
      <c r="AT110" s="29"/>
      <c r="AU110" s="29"/>
      <c r="AV110" s="29">
        <v>0.68</v>
      </c>
      <c r="AW110" s="29">
        <v>1.1000000000000001</v>
      </c>
      <c r="AX110" s="29">
        <v>0.48</v>
      </c>
      <c r="AY110" s="30">
        <f>SUM(AS110:AX110)</f>
        <v>2.2600000000000002</v>
      </c>
      <c r="AZ110" s="29" t="s">
        <v>553</v>
      </c>
      <c r="BA110" s="470"/>
      <c r="BB110" s="419">
        <f>777.78+8.89+6.68</f>
        <v>793.34999999999991</v>
      </c>
      <c r="BC110" s="419">
        <f>2803.28/4</f>
        <v>700.82</v>
      </c>
      <c r="BD110" s="419">
        <f>(BB110-(AY110*5))*(1-1%)</f>
        <v>774.22949999999992</v>
      </c>
      <c r="BE110" s="30">
        <f>BD110</f>
        <v>774.22949999999992</v>
      </c>
      <c r="BF110" s="1117">
        <f>BD110</f>
        <v>774.22949999999992</v>
      </c>
      <c r="BG110" s="572"/>
      <c r="BH110" s="289"/>
      <c r="BI110" s="586"/>
    </row>
    <row r="111" spans="1:61">
      <c r="B111" s="86"/>
      <c r="C111" s="28"/>
      <c r="D111" s="164"/>
      <c r="E111" s="29"/>
      <c r="F111" s="29"/>
      <c r="G111" s="263"/>
      <c r="H111" s="143"/>
      <c r="I111" s="32"/>
      <c r="J111" s="8"/>
      <c r="K111" s="7"/>
      <c r="L111" s="324"/>
      <c r="M111" s="38"/>
      <c r="N111" s="30"/>
      <c r="O111" s="29"/>
      <c r="P111" s="29"/>
      <c r="Q111" s="29"/>
      <c r="R111" s="29"/>
      <c r="S111" s="76"/>
      <c r="T111" s="32"/>
      <c r="U111" s="1016"/>
      <c r="V111" s="79"/>
      <c r="W111" s="80"/>
      <c r="X111" s="1016"/>
      <c r="Z111" s="35"/>
      <c r="AA111" s="316"/>
      <c r="AB111" s="45"/>
      <c r="AC111" s="32"/>
      <c r="AD111" s="79"/>
      <c r="AE111" s="80"/>
      <c r="AF111" s="1052"/>
      <c r="AG111" s="1041"/>
      <c r="AH111" s="522"/>
      <c r="AJ111" s="47"/>
      <c r="AL111" s="47"/>
      <c r="AO111" s="34"/>
      <c r="AQ111" s="706"/>
      <c r="AR111" s="47"/>
      <c r="AS111" s="43"/>
      <c r="AT111" s="29"/>
      <c r="AU111" s="29"/>
      <c r="AZ111" s="143"/>
      <c r="BB111" s="419"/>
      <c r="BC111" s="419"/>
      <c r="BD111" s="419"/>
      <c r="BE111" s="30"/>
      <c r="BF111" s="1118"/>
      <c r="BG111" s="579" t="s">
        <v>196</v>
      </c>
      <c r="BH111" s="289"/>
    </row>
    <row r="112" spans="1:61">
      <c r="B112" s="207"/>
      <c r="C112" s="137"/>
      <c r="D112" s="163"/>
      <c r="E112" s="168"/>
      <c r="F112" s="168"/>
      <c r="G112" s="265"/>
      <c r="H112" s="208"/>
      <c r="I112" s="208"/>
      <c r="J112" s="209"/>
      <c r="K112" s="210"/>
      <c r="L112" s="326"/>
      <c r="M112" s="218"/>
      <c r="N112" s="168"/>
      <c r="O112" s="160"/>
      <c r="P112" s="160"/>
      <c r="Q112" s="160"/>
      <c r="R112" s="160"/>
      <c r="S112" s="211"/>
      <c r="T112" s="209"/>
      <c r="U112" s="1013"/>
      <c r="V112" s="209"/>
      <c r="W112" s="209"/>
      <c r="X112" s="1013"/>
      <c r="Y112" s="299"/>
      <c r="Z112" s="274"/>
      <c r="AA112" s="317"/>
      <c r="AB112" s="213"/>
      <c r="AC112" s="208"/>
      <c r="AD112" s="208"/>
      <c r="AE112" s="215"/>
      <c r="AF112" s="1051"/>
      <c r="AG112" s="1045"/>
      <c r="AH112" s="216"/>
      <c r="AI112" s="1002"/>
      <c r="AJ112" s="217"/>
      <c r="AK112" s="585"/>
      <c r="AL112" s="217"/>
      <c r="AM112" s="160"/>
      <c r="AN112" s="910"/>
      <c r="AO112" s="216"/>
      <c r="AP112" s="214"/>
      <c r="AQ112" s="216"/>
      <c r="AR112" s="217"/>
      <c r="AS112" s="328"/>
      <c r="AT112" s="160"/>
      <c r="AU112" s="160"/>
      <c r="AV112" s="160"/>
      <c r="AW112" s="160"/>
      <c r="AX112" s="160"/>
      <c r="AY112" s="329"/>
      <c r="AZ112" s="296"/>
      <c r="BA112" s="213"/>
      <c r="BB112" s="887"/>
      <c r="BC112" s="887"/>
      <c r="BD112" s="886"/>
      <c r="BE112" s="1110"/>
      <c r="BF112" s="1121"/>
      <c r="BG112" s="577"/>
      <c r="BH112" s="289"/>
    </row>
    <row r="113" spans="1:61" s="951" customFormat="1">
      <c r="A113" s="1269"/>
      <c r="B113" s="935"/>
      <c r="C113" s="936"/>
      <c r="D113" s="937"/>
      <c r="E113" s="938"/>
      <c r="F113" s="938"/>
      <c r="G113" s="939"/>
      <c r="H113" s="936"/>
      <c r="I113" s="940"/>
      <c r="J113" s="936"/>
      <c r="K113" s="941"/>
      <c r="L113" s="942"/>
      <c r="M113" s="938"/>
      <c r="N113" s="937"/>
      <c r="O113" s="938"/>
      <c r="P113" s="938"/>
      <c r="Q113" s="938"/>
      <c r="R113" s="938"/>
      <c r="S113" s="943"/>
      <c r="T113" s="940"/>
      <c r="U113" s="1065"/>
      <c r="V113" s="940"/>
      <c r="W113" s="940"/>
      <c r="X113" s="1065"/>
      <c r="Y113" s="926"/>
      <c r="Z113" s="945"/>
      <c r="AA113" s="946"/>
      <c r="AB113" s="943"/>
      <c r="AC113" s="940"/>
      <c r="AD113" s="940"/>
      <c r="AE113" s="940"/>
      <c r="AF113" s="1171"/>
      <c r="AG113" s="926"/>
      <c r="AH113" s="1106"/>
      <c r="AI113" s="1164"/>
      <c r="AJ113" s="947"/>
      <c r="AK113" s="1172"/>
      <c r="AL113" s="947"/>
      <c r="AM113" s="938"/>
      <c r="AN113" s="948"/>
      <c r="AO113" s="937"/>
      <c r="AP113" s="944"/>
      <c r="AQ113" s="937"/>
      <c r="AR113" s="947"/>
      <c r="AS113" s="949"/>
      <c r="AT113" s="938"/>
      <c r="AU113" s="938"/>
      <c r="AV113" s="938"/>
      <c r="AW113" s="938"/>
      <c r="AX113" s="938"/>
      <c r="AY113" s="937"/>
      <c r="AZ113" s="938"/>
      <c r="BA113" s="943"/>
      <c r="BB113" s="937"/>
      <c r="BC113" s="937"/>
      <c r="BD113" s="937"/>
      <c r="BE113" s="937"/>
      <c r="BF113" s="937"/>
      <c r="BG113" s="950"/>
      <c r="BI113" s="952"/>
    </row>
    <row r="114" spans="1:61">
      <c r="B114" s="86"/>
      <c r="C114" s="28"/>
      <c r="D114" s="164"/>
      <c r="E114" s="29"/>
      <c r="F114" s="29"/>
      <c r="G114" s="263"/>
      <c r="H114" s="143"/>
      <c r="I114" s="32"/>
      <c r="J114" s="8"/>
      <c r="K114" s="7"/>
      <c r="L114" s="324"/>
      <c r="M114" s="38"/>
      <c r="N114" s="30"/>
      <c r="O114" s="29"/>
      <c r="P114" s="29"/>
      <c r="Q114" s="29"/>
      <c r="R114" s="29"/>
      <c r="S114" s="76"/>
      <c r="T114" s="32"/>
      <c r="U114" s="1016"/>
      <c r="V114" s="79"/>
      <c r="W114" s="80"/>
      <c r="X114" s="1016"/>
      <c r="Z114" s="35"/>
      <c r="AA114" s="316"/>
      <c r="AB114" s="45"/>
      <c r="AC114" s="32"/>
      <c r="AD114" s="79"/>
      <c r="AE114" s="80"/>
      <c r="AF114" s="1052"/>
      <c r="AG114" s="1041"/>
      <c r="AH114" s="522"/>
      <c r="AJ114" s="47"/>
      <c r="AL114" s="47"/>
      <c r="AO114" s="34"/>
      <c r="AQ114" s="706"/>
      <c r="AR114" s="47"/>
      <c r="AS114" s="43"/>
      <c r="AT114" s="29"/>
      <c r="AU114" s="29"/>
      <c r="AZ114" s="143"/>
      <c r="BB114" s="419"/>
      <c r="BC114" s="419"/>
      <c r="BD114" s="419"/>
      <c r="BE114" s="30"/>
      <c r="BF114" s="1118"/>
      <c r="BG114" s="579"/>
      <c r="BH114" s="289"/>
    </row>
    <row r="115" spans="1:61">
      <c r="B115" s="207"/>
      <c r="C115" s="137"/>
      <c r="D115" s="163"/>
      <c r="E115" s="168"/>
      <c r="F115" s="168"/>
      <c r="G115" s="265"/>
      <c r="H115" s="208"/>
      <c r="I115" s="208"/>
      <c r="J115" s="209"/>
      <c r="K115" s="210"/>
      <c r="L115" s="326"/>
      <c r="M115" s="218"/>
      <c r="N115" s="168"/>
      <c r="O115" s="160"/>
      <c r="P115" s="160"/>
      <c r="Q115" s="160"/>
      <c r="R115" s="160"/>
      <c r="S115" s="211"/>
      <c r="T115" s="209"/>
      <c r="U115" s="1013"/>
      <c r="V115" s="209"/>
      <c r="W115" s="209"/>
      <c r="X115" s="1013"/>
      <c r="Y115" s="299"/>
      <c r="Z115" s="274"/>
      <c r="AA115" s="317"/>
      <c r="AB115" s="213"/>
      <c r="AC115" s="208"/>
      <c r="AD115" s="208"/>
      <c r="AE115" s="215"/>
      <c r="AF115" s="1051"/>
      <c r="AG115" s="1045"/>
      <c r="AH115" s="216"/>
      <c r="AI115" s="1002"/>
      <c r="AJ115" s="217"/>
      <c r="AK115" s="585"/>
      <c r="AL115" s="217"/>
      <c r="AM115" s="160"/>
      <c r="AN115" s="910"/>
      <c r="AO115" s="216"/>
      <c r="AP115" s="214"/>
      <c r="AQ115" s="216"/>
      <c r="AR115" s="217"/>
      <c r="AS115" s="328"/>
      <c r="AT115" s="160"/>
      <c r="AU115" s="160"/>
      <c r="AV115" s="160"/>
      <c r="AW115" s="160"/>
      <c r="AX115" s="160"/>
      <c r="AY115" s="329"/>
      <c r="AZ115" s="296"/>
      <c r="BA115" s="213"/>
      <c r="BB115" s="887"/>
      <c r="BC115" s="887"/>
      <c r="BD115" s="886"/>
      <c r="BE115" s="1110"/>
      <c r="BF115" s="1121"/>
      <c r="BG115" s="577"/>
      <c r="BH115" s="289"/>
    </row>
    <row r="116" spans="1:61" s="149" customFormat="1">
      <c r="A116" s="1269"/>
      <c r="B116" s="86" t="s">
        <v>241</v>
      </c>
      <c r="C116" s="115"/>
      <c r="D116" s="164"/>
      <c r="E116" s="29" t="s">
        <v>109</v>
      </c>
      <c r="F116" s="29" t="s">
        <v>150</v>
      </c>
      <c r="G116" s="263" t="s">
        <v>85</v>
      </c>
      <c r="H116" s="8" t="s">
        <v>11</v>
      </c>
      <c r="I116" s="32" t="s">
        <v>111</v>
      </c>
      <c r="J116" s="8" t="s">
        <v>435</v>
      </c>
      <c r="K116" s="7" t="s">
        <v>112</v>
      </c>
      <c r="L116" s="333">
        <v>16.829999999999998</v>
      </c>
      <c r="M116" s="38"/>
      <c r="N116" s="30">
        <f>L116+M116</f>
        <v>16.829999999999998</v>
      </c>
      <c r="O116" s="29"/>
      <c r="P116" s="29">
        <f>N116+O116</f>
        <v>16.829999999999998</v>
      </c>
      <c r="Q116" s="29"/>
      <c r="R116" s="29"/>
      <c r="S116" s="470"/>
      <c r="T116" s="32">
        <v>20</v>
      </c>
      <c r="U116" s="1052">
        <f>T116/'Grondslag bouw &amp; infra'!$B$50</f>
        <v>7.662835249042145E-2</v>
      </c>
      <c r="V116" s="79">
        <v>14</v>
      </c>
      <c r="W116" s="80">
        <v>0</v>
      </c>
      <c r="X116" s="1052">
        <f>(V116+W116)/'Grondslag bouw &amp; infra'!$B$50</f>
        <v>5.3639846743295021E-2</v>
      </c>
      <c r="Y116" s="298"/>
      <c r="Z116" s="433"/>
      <c r="AA116" s="467"/>
      <c r="AB116" s="470"/>
      <c r="AC116" s="32">
        <v>5</v>
      </c>
      <c r="AD116" s="79">
        <v>6</v>
      </c>
      <c r="AE116" s="80">
        <v>0</v>
      </c>
      <c r="AF116" s="1086">
        <f>(AC116+AD116+AE116)/'Grondslag bouw &amp; infra'!$B$50</f>
        <v>4.2145593869731802E-2</v>
      </c>
      <c r="AG116" s="1041"/>
      <c r="AH116" s="522">
        <f>(AQ116-'Grondslag bouw &amp; infra'!$B$46)*'Grondslag bouw &amp; infra'!$B$43</f>
        <v>0.24228962048310354</v>
      </c>
      <c r="AI116" s="1001">
        <v>3.6499999999999998E-2</v>
      </c>
      <c r="AJ116" s="471"/>
      <c r="AK116" s="1008"/>
      <c r="AL116" s="471"/>
      <c r="AM116" s="9">
        <f>$AN$6*AN116</f>
        <v>0</v>
      </c>
      <c r="AN116" s="180"/>
      <c r="AO116" s="34"/>
      <c r="AP116" s="31"/>
      <c r="AQ116" s="30">
        <f>(P116*(AF116+AI116)+P116)</f>
        <v>18.153605344827586</v>
      </c>
      <c r="AR116" s="471"/>
      <c r="AS116" s="43"/>
      <c r="AT116" s="29"/>
      <c r="AU116" s="29"/>
      <c r="AV116" s="29">
        <v>0.68</v>
      </c>
      <c r="AW116" s="29">
        <v>1.1000000000000001</v>
      </c>
      <c r="AX116" s="29">
        <v>0.48</v>
      </c>
      <c r="AY116" s="30">
        <f>SUM(AS116:AX116)</f>
        <v>2.2600000000000002</v>
      </c>
      <c r="AZ116" s="29" t="s">
        <v>226</v>
      </c>
      <c r="BA116" s="470"/>
      <c r="BB116" s="881">
        <f>660+7.22-6.94</f>
        <v>660.28</v>
      </c>
      <c r="BC116" s="419">
        <f>2420.87/4</f>
        <v>605.21749999999997</v>
      </c>
      <c r="BD116" s="419">
        <f>(BB116-(AY116*5))*(1-1%)</f>
        <v>642.49019999999996</v>
      </c>
      <c r="BE116" s="30">
        <f>BD116</f>
        <v>642.49019999999996</v>
      </c>
      <c r="BF116" s="1117">
        <f>BD116</f>
        <v>642.49019999999996</v>
      </c>
      <c r="BG116" s="572"/>
      <c r="BH116" s="289"/>
      <c r="BI116" s="586"/>
    </row>
    <row r="117" spans="1:61" s="149" customFormat="1">
      <c r="A117" s="289"/>
      <c r="B117" s="86"/>
      <c r="C117" s="143"/>
      <c r="D117" s="164"/>
      <c r="E117" s="29"/>
      <c r="F117" s="29"/>
      <c r="G117" s="263"/>
      <c r="H117" s="8"/>
      <c r="I117" s="32"/>
      <c r="J117" s="8"/>
      <c r="K117" s="7"/>
      <c r="L117" s="333"/>
      <c r="M117" s="38"/>
      <c r="N117" s="30"/>
      <c r="O117" s="29"/>
      <c r="P117" s="29"/>
      <c r="Q117" s="29"/>
      <c r="R117" s="29"/>
      <c r="S117" s="470"/>
      <c r="T117" s="32"/>
      <c r="U117" s="1016"/>
      <c r="V117" s="79"/>
      <c r="W117" s="80"/>
      <c r="X117" s="1016"/>
      <c r="Y117" s="298"/>
      <c r="Z117" s="433"/>
      <c r="AA117" s="467"/>
      <c r="AB117" s="470"/>
      <c r="AC117" s="32"/>
      <c r="AD117" s="79"/>
      <c r="AE117" s="80"/>
      <c r="AF117" s="1052"/>
      <c r="AG117" s="1041"/>
      <c r="AH117" s="522"/>
      <c r="AI117" s="1001"/>
      <c r="AJ117" s="471"/>
      <c r="AK117" s="584"/>
      <c r="AL117" s="471"/>
      <c r="AM117" s="9"/>
      <c r="AN117" s="180"/>
      <c r="AO117" s="34"/>
      <c r="AP117" s="31"/>
      <c r="AQ117" s="30"/>
      <c r="AR117" s="471"/>
      <c r="AS117" s="43"/>
      <c r="AT117" s="29"/>
      <c r="AU117" s="29"/>
      <c r="AV117" s="29"/>
      <c r="AW117" s="29"/>
      <c r="AX117" s="29"/>
      <c r="AY117" s="30"/>
      <c r="AZ117" s="29"/>
      <c r="BA117" s="470"/>
      <c r="BB117" s="419"/>
      <c r="BC117" s="419"/>
      <c r="BD117" s="419"/>
      <c r="BE117" s="30"/>
      <c r="BF117" s="1118"/>
      <c r="BG117" s="572"/>
      <c r="BH117" s="289"/>
      <c r="BI117" s="586"/>
    </row>
    <row r="118" spans="1:61">
      <c r="B118" s="207"/>
      <c r="C118" s="137"/>
      <c r="D118" s="163"/>
      <c r="E118" s="168"/>
      <c r="F118" s="168"/>
      <c r="G118" s="265"/>
      <c r="H118" s="208"/>
      <c r="I118" s="208"/>
      <c r="J118" s="209"/>
      <c r="K118" s="210"/>
      <c r="L118" s="326"/>
      <c r="M118" s="218"/>
      <c r="N118" s="168"/>
      <c r="O118" s="160"/>
      <c r="P118" s="160"/>
      <c r="Q118" s="160"/>
      <c r="R118" s="160"/>
      <c r="S118" s="211"/>
      <c r="T118" s="209"/>
      <c r="U118" s="1013"/>
      <c r="V118" s="209"/>
      <c r="W118" s="209"/>
      <c r="X118" s="1013"/>
      <c r="Y118" s="299"/>
      <c r="Z118" s="274"/>
      <c r="AA118" s="317"/>
      <c r="AB118" s="213"/>
      <c r="AC118" s="208"/>
      <c r="AD118" s="208"/>
      <c r="AE118" s="215"/>
      <c r="AF118" s="1051"/>
      <c r="AG118" s="1045"/>
      <c r="AH118" s="216"/>
      <c r="AI118" s="1002"/>
      <c r="AJ118" s="217"/>
      <c r="AK118" s="585"/>
      <c r="AL118" s="217"/>
      <c r="AM118" s="160"/>
      <c r="AN118" s="910"/>
      <c r="AO118" s="216"/>
      <c r="AP118" s="214"/>
      <c r="AQ118" s="216"/>
      <c r="AR118" s="217"/>
      <c r="AS118" s="328"/>
      <c r="AT118" s="160"/>
      <c r="AU118" s="160"/>
      <c r="AV118" s="160"/>
      <c r="AW118" s="160"/>
      <c r="AX118" s="160"/>
      <c r="AY118" s="329"/>
      <c r="AZ118" s="296"/>
      <c r="BA118" s="213"/>
      <c r="BB118" s="887"/>
      <c r="BC118" s="887"/>
      <c r="BD118" s="886"/>
      <c r="BE118" s="1110"/>
      <c r="BF118" s="1121"/>
      <c r="BG118" s="577"/>
      <c r="BH118" s="289"/>
    </row>
    <row r="119" spans="1:61" s="149" customFormat="1">
      <c r="A119" s="1269"/>
      <c r="B119" s="86" t="s">
        <v>180</v>
      </c>
      <c r="C119" s="143"/>
      <c r="D119" s="164">
        <f>853.55</f>
        <v>853.55</v>
      </c>
      <c r="E119" s="29" t="s">
        <v>91</v>
      </c>
      <c r="F119" s="29" t="s">
        <v>118</v>
      </c>
      <c r="G119" s="263" t="s">
        <v>122</v>
      </c>
      <c r="H119" s="8" t="s">
        <v>11</v>
      </c>
      <c r="I119" s="32" t="s">
        <v>111</v>
      </c>
      <c r="J119" s="8" t="s">
        <v>93</v>
      </c>
      <c r="K119" s="7" t="s">
        <v>64</v>
      </c>
      <c r="L119" s="333">
        <v>20.02</v>
      </c>
      <c r="M119" s="38"/>
      <c r="N119" s="30">
        <f>L119+M119</f>
        <v>20.02</v>
      </c>
      <c r="O119" s="29"/>
      <c r="P119" s="29">
        <f>N119+O119</f>
        <v>20.02</v>
      </c>
      <c r="Q119" s="29"/>
      <c r="R119" s="29"/>
      <c r="S119" s="470"/>
      <c r="T119" s="32">
        <v>20</v>
      </c>
      <c r="U119" s="1052">
        <f>T119/'Grondslag bouw &amp; infra'!$B$50</f>
        <v>7.662835249042145E-2</v>
      </c>
      <c r="V119" s="79">
        <v>20</v>
      </c>
      <c r="W119" s="80">
        <v>0</v>
      </c>
      <c r="X119" s="1052">
        <f>(V119+W119)/'Grondslag bouw &amp; infra'!$B$50</f>
        <v>7.662835249042145E-2</v>
      </c>
      <c r="Y119" s="298"/>
      <c r="Z119" s="433"/>
      <c r="AA119" s="467"/>
      <c r="AB119" s="470"/>
      <c r="AC119" s="32">
        <v>5</v>
      </c>
      <c r="AD119" s="79">
        <v>0</v>
      </c>
      <c r="AE119" s="80">
        <v>0</v>
      </c>
      <c r="AF119" s="1086">
        <f>(AC119+AD119+AE119)/'Grondslag bouw &amp; infra'!$B$50</f>
        <v>1.9157088122605363E-2</v>
      </c>
      <c r="AG119" s="1041"/>
      <c r="AH119" s="522"/>
      <c r="AI119" s="1001">
        <v>3.6499999999999998E-2</v>
      </c>
      <c r="AJ119" s="471"/>
      <c r="AK119" s="1008"/>
      <c r="AL119" s="471"/>
      <c r="AM119" s="9">
        <f>$AN$6*AN119</f>
        <v>0</v>
      </c>
      <c r="AN119" s="180"/>
      <c r="AO119" s="34"/>
      <c r="AP119" s="31"/>
      <c r="AQ119" s="30">
        <f>(P119*(AF119+AI119)+P119)</f>
        <v>21.134254904214558</v>
      </c>
      <c r="AR119" s="471"/>
      <c r="AS119" s="43"/>
      <c r="AT119" s="29">
        <v>0.96</v>
      </c>
      <c r="AU119" s="29"/>
      <c r="AV119" s="29">
        <v>0.68</v>
      </c>
      <c r="AW119" s="29">
        <v>1.1000000000000001</v>
      </c>
      <c r="AX119" s="29">
        <v>0.48</v>
      </c>
      <c r="AY119" s="30">
        <f>SUM(AS119:AX119)</f>
        <v>3.22</v>
      </c>
      <c r="AZ119" s="29" t="s">
        <v>211</v>
      </c>
      <c r="BA119" s="470"/>
      <c r="BB119" s="419">
        <f>646+17.92+3.33+8.22</f>
        <v>675.47</v>
      </c>
      <c r="BC119" s="419">
        <f>2677.26/4</f>
        <v>669.31500000000005</v>
      </c>
      <c r="BD119" s="419">
        <f>(BB119-(AY119*5))*(1-1%)</f>
        <v>652.77629999999999</v>
      </c>
      <c r="BE119" s="30">
        <f>BD119</f>
        <v>652.77629999999999</v>
      </c>
      <c r="BF119" s="1118">
        <f>BD119</f>
        <v>652.77629999999999</v>
      </c>
      <c r="BG119" s="572"/>
      <c r="BH119" s="289"/>
      <c r="BI119" s="586"/>
    </row>
    <row r="120" spans="1:61">
      <c r="B120" s="86"/>
      <c r="C120" s="28"/>
      <c r="D120" s="164"/>
      <c r="E120" s="29"/>
      <c r="F120" s="29"/>
      <c r="G120" s="263"/>
      <c r="H120" s="143"/>
      <c r="I120" s="32"/>
      <c r="J120" s="8"/>
      <c r="K120" s="7"/>
      <c r="L120" s="324"/>
      <c r="M120" s="38"/>
      <c r="N120" s="30"/>
      <c r="O120" s="29"/>
      <c r="P120" s="29"/>
      <c r="Q120" s="29"/>
      <c r="R120" s="29"/>
      <c r="S120" s="76"/>
      <c r="T120" s="32"/>
      <c r="U120" s="1016"/>
      <c r="V120" s="79"/>
      <c r="W120" s="80"/>
      <c r="X120" s="1016"/>
      <c r="Z120" s="35"/>
      <c r="AA120" s="316"/>
      <c r="AB120" s="45"/>
      <c r="AC120" s="32"/>
      <c r="AD120" s="79"/>
      <c r="AE120" s="80"/>
      <c r="AF120" s="1052"/>
      <c r="AG120" s="1041"/>
      <c r="AH120" s="522"/>
      <c r="AJ120" s="47"/>
      <c r="AL120" s="47"/>
      <c r="AO120" s="34"/>
      <c r="AQ120" s="706"/>
      <c r="AR120" s="47"/>
      <c r="AS120" s="43"/>
      <c r="AT120" s="29"/>
      <c r="AU120" s="29"/>
      <c r="AZ120" s="143"/>
      <c r="BB120" s="419"/>
      <c r="BC120" s="419"/>
      <c r="BD120" s="419"/>
      <c r="BE120" s="30"/>
      <c r="BF120" s="1118"/>
      <c r="BG120" s="579"/>
      <c r="BH120" s="289"/>
    </row>
    <row r="121" spans="1:61">
      <c r="B121" s="207"/>
      <c r="C121" s="137"/>
      <c r="D121" s="163"/>
      <c r="E121" s="168"/>
      <c r="F121" s="168"/>
      <c r="G121" s="265"/>
      <c r="H121" s="208"/>
      <c r="I121" s="208"/>
      <c r="J121" s="209"/>
      <c r="K121" s="210"/>
      <c r="L121" s="326"/>
      <c r="M121" s="218"/>
      <c r="N121" s="168"/>
      <c r="O121" s="160"/>
      <c r="P121" s="160"/>
      <c r="Q121" s="160"/>
      <c r="R121" s="160"/>
      <c r="S121" s="211"/>
      <c r="T121" s="209"/>
      <c r="U121" s="1013"/>
      <c r="V121" s="209"/>
      <c r="W121" s="209"/>
      <c r="X121" s="1013"/>
      <c r="Y121" s="299"/>
      <c r="Z121" s="274"/>
      <c r="AA121" s="317"/>
      <c r="AB121" s="213"/>
      <c r="AC121" s="208"/>
      <c r="AD121" s="208"/>
      <c r="AE121" s="215"/>
      <c r="AF121" s="1051"/>
      <c r="AG121" s="1045"/>
      <c r="AH121" s="216"/>
      <c r="AI121" s="1002"/>
      <c r="AJ121" s="217"/>
      <c r="AK121" s="585"/>
      <c r="AL121" s="217"/>
      <c r="AM121" s="160"/>
      <c r="AN121" s="910"/>
      <c r="AO121" s="216"/>
      <c r="AP121" s="214"/>
      <c r="AQ121" s="216"/>
      <c r="AR121" s="217"/>
      <c r="AS121" s="328"/>
      <c r="AT121" s="160"/>
      <c r="AU121" s="160"/>
      <c r="AV121" s="160"/>
      <c r="AW121" s="160"/>
      <c r="AX121" s="160"/>
      <c r="AY121" s="329"/>
      <c r="AZ121" s="296"/>
      <c r="BA121" s="213"/>
      <c r="BB121" s="887"/>
      <c r="BC121" s="887"/>
      <c r="BD121" s="886"/>
      <c r="BE121" s="1110"/>
      <c r="BF121" s="1121"/>
      <c r="BG121" s="577"/>
      <c r="BH121" s="289"/>
    </row>
    <row r="122" spans="1:61" s="149" customFormat="1">
      <c r="A122" s="1269"/>
      <c r="B122" s="86"/>
      <c r="C122" s="143"/>
      <c r="D122" s="164"/>
      <c r="E122" s="29"/>
      <c r="F122" s="29"/>
      <c r="G122" s="263"/>
      <c r="H122" s="8"/>
      <c r="I122" s="32"/>
      <c r="J122" s="8"/>
      <c r="K122" s="7"/>
      <c r="L122" s="333"/>
      <c r="M122" s="38"/>
      <c r="N122" s="30"/>
      <c r="O122" s="29"/>
      <c r="P122" s="29"/>
      <c r="Q122" s="29"/>
      <c r="R122" s="29"/>
      <c r="S122" s="470"/>
      <c r="T122" s="32"/>
      <c r="U122" s="1016"/>
      <c r="V122" s="79"/>
      <c r="W122" s="80"/>
      <c r="X122" s="1016"/>
      <c r="Y122" s="298"/>
      <c r="Z122" s="433"/>
      <c r="AA122" s="467"/>
      <c r="AB122" s="470"/>
      <c r="AC122" s="32"/>
      <c r="AD122" s="79"/>
      <c r="AE122" s="80"/>
      <c r="AF122" s="1052"/>
      <c r="AG122" s="1041"/>
      <c r="AH122" s="522"/>
      <c r="AI122" s="1001"/>
      <c r="AJ122" s="471"/>
      <c r="AK122" s="584"/>
      <c r="AL122" s="471"/>
      <c r="AM122" s="9"/>
      <c r="AN122" s="180"/>
      <c r="AO122" s="34"/>
      <c r="AP122" s="31"/>
      <c r="AQ122" s="706"/>
      <c r="AR122" s="471"/>
      <c r="AS122" s="43"/>
      <c r="AT122" s="29"/>
      <c r="AU122" s="29"/>
      <c r="AV122" s="29"/>
      <c r="AW122" s="29"/>
      <c r="AX122" s="29"/>
      <c r="AY122" s="30"/>
      <c r="AZ122" s="29"/>
      <c r="BA122" s="470"/>
      <c r="BB122" s="419"/>
      <c r="BC122" s="419"/>
      <c r="BD122" s="419"/>
      <c r="BE122" s="41"/>
      <c r="BF122" s="1118"/>
      <c r="BG122" s="572"/>
      <c r="BH122" s="289"/>
      <c r="BI122" s="586"/>
    </row>
    <row r="123" spans="1:61" s="149" customFormat="1">
      <c r="A123" s="289"/>
      <c r="B123" s="86" t="s">
        <v>181</v>
      </c>
      <c r="C123" s="143"/>
      <c r="D123" s="164">
        <f>111.89</f>
        <v>111.89</v>
      </c>
      <c r="E123" s="29" t="s">
        <v>91</v>
      </c>
      <c r="F123" s="29" t="s">
        <v>97</v>
      </c>
      <c r="G123" s="263" t="s">
        <v>122</v>
      </c>
      <c r="H123" s="8" t="s">
        <v>10</v>
      </c>
      <c r="I123" s="32" t="s">
        <v>363</v>
      </c>
      <c r="J123" s="8" t="s">
        <v>380</v>
      </c>
      <c r="K123" s="7" t="s">
        <v>170</v>
      </c>
      <c r="L123" s="333">
        <v>23</v>
      </c>
      <c r="M123" s="38"/>
      <c r="N123" s="30">
        <f>L123+M123</f>
        <v>23</v>
      </c>
      <c r="O123" s="29"/>
      <c r="P123" s="29">
        <f>N123+O123</f>
        <v>23</v>
      </c>
      <c r="Q123" s="29" t="s">
        <v>171</v>
      </c>
      <c r="R123" s="29"/>
      <c r="S123" s="470"/>
      <c r="T123" s="32">
        <v>25</v>
      </c>
      <c r="U123" s="1052">
        <f>T123/'Grondslag bouw &amp; infra'!$B$50</f>
        <v>9.5785440613026823E-2</v>
      </c>
      <c r="V123" s="79">
        <v>8</v>
      </c>
      <c r="W123" s="80">
        <v>0</v>
      </c>
      <c r="X123" s="1052">
        <f>(V123+W123)/'Grondslag bouw &amp; infra'!$B$50</f>
        <v>3.0651340996168581E-2</v>
      </c>
      <c r="Y123" s="298"/>
      <c r="Z123" s="433"/>
      <c r="AA123" s="467"/>
      <c r="AB123" s="470"/>
      <c r="AC123" s="32">
        <v>0</v>
      </c>
      <c r="AD123" s="79">
        <v>7</v>
      </c>
      <c r="AE123" s="80">
        <v>0</v>
      </c>
      <c r="AF123" s="1086">
        <f>(AC123+AD123+AE123)/'Grondslag bouw &amp; infra'!$B$50</f>
        <v>2.681992337164751E-2</v>
      </c>
      <c r="AG123" s="1041"/>
      <c r="AH123" s="522"/>
      <c r="AI123" s="1001">
        <v>2.3E-2</v>
      </c>
      <c r="AJ123" s="471"/>
      <c r="AK123" s="584">
        <f>'Grondslag bouw &amp; infra'!C31</f>
        <v>20.66769230769231</v>
      </c>
      <c r="AL123" s="471"/>
      <c r="AM123" s="9">
        <f>$AN$6*AN123</f>
        <v>0</v>
      </c>
      <c r="AN123" s="180"/>
      <c r="AO123" s="34"/>
      <c r="AP123" s="31"/>
      <c r="AQ123" s="30">
        <f>(P123*(AF123+AI123)+P123)</f>
        <v>24.145858237547891</v>
      </c>
      <c r="AR123" s="471"/>
      <c r="AS123" s="43"/>
      <c r="AT123" s="29"/>
      <c r="AU123" s="29"/>
      <c r="AV123" s="29">
        <v>0.68</v>
      </c>
      <c r="AW123" s="29">
        <v>1.1000000000000001</v>
      </c>
      <c r="AX123" s="29">
        <v>0.48</v>
      </c>
      <c r="AY123" s="30">
        <f>SUM(AS123:AX123)</f>
        <v>2.2600000000000002</v>
      </c>
      <c r="AZ123" s="29">
        <v>0.25</v>
      </c>
      <c r="BA123" s="470"/>
      <c r="BB123" s="419">
        <f>((4104.12+101.22)/4)-74.75+25.15+49.1</f>
        <v>1050.835</v>
      </c>
      <c r="BC123" s="419">
        <f>3030.58/4</f>
        <v>757.64499999999998</v>
      </c>
      <c r="BD123" s="419">
        <f>(BB123-(AY123*5))*(1-1%)</f>
        <v>1029.1396500000001</v>
      </c>
      <c r="BE123" s="30">
        <f>BD123</f>
        <v>1029.1396500000001</v>
      </c>
      <c r="BF123" s="1117">
        <f>BD123</f>
        <v>1029.1396500000001</v>
      </c>
      <c r="BG123" s="572" t="s">
        <v>182</v>
      </c>
      <c r="BH123" s="289"/>
      <c r="BI123" s="586"/>
    </row>
    <row r="124" spans="1:61">
      <c r="B124" s="207"/>
      <c r="C124" s="137"/>
      <c r="D124" s="163"/>
      <c r="E124" s="168"/>
      <c r="F124" s="168"/>
      <c r="G124" s="265"/>
      <c r="H124" s="208"/>
      <c r="I124" s="208"/>
      <c r="J124" s="209"/>
      <c r="K124" s="210"/>
      <c r="L124" s="326"/>
      <c r="M124" s="218"/>
      <c r="N124" s="168"/>
      <c r="O124" s="160"/>
      <c r="P124" s="160"/>
      <c r="Q124" s="160"/>
      <c r="R124" s="160"/>
      <c r="S124" s="211"/>
      <c r="T124" s="209"/>
      <c r="U124" s="1013"/>
      <c r="V124" s="209"/>
      <c r="W124" s="209"/>
      <c r="X124" s="1013"/>
      <c r="Y124" s="299"/>
      <c r="Z124" s="274"/>
      <c r="AA124" s="317"/>
      <c r="AB124" s="213"/>
      <c r="AC124" s="208"/>
      <c r="AD124" s="208"/>
      <c r="AE124" s="215"/>
      <c r="AF124" s="1051"/>
      <c r="AG124" s="1045"/>
      <c r="AH124" s="216"/>
      <c r="AI124" s="1002"/>
      <c r="AJ124" s="217"/>
      <c r="AK124" s="585"/>
      <c r="AL124" s="217"/>
      <c r="AM124" s="160"/>
      <c r="AN124" s="910"/>
      <c r="AO124" s="216"/>
      <c r="AP124" s="214"/>
      <c r="AQ124" s="216"/>
      <c r="AR124" s="217"/>
      <c r="AS124" s="328"/>
      <c r="AT124" s="160"/>
      <c r="AU124" s="160"/>
      <c r="AV124" s="160"/>
      <c r="AW124" s="160"/>
      <c r="AX124" s="160"/>
      <c r="AY124" s="329"/>
      <c r="AZ124" s="296"/>
      <c r="BA124" s="213"/>
      <c r="BB124" s="887"/>
      <c r="BC124" s="887"/>
      <c r="BD124" s="886"/>
      <c r="BE124" s="1110"/>
      <c r="BF124" s="1121"/>
      <c r="BG124" s="577" t="s">
        <v>195</v>
      </c>
      <c r="BH124" s="289"/>
    </row>
    <row r="125" spans="1:61" s="149" customFormat="1">
      <c r="A125" s="1269"/>
      <c r="B125" s="85" t="s">
        <v>426</v>
      </c>
      <c r="C125" s="158"/>
      <c r="D125" s="165"/>
      <c r="E125" s="29" t="s">
        <v>109</v>
      </c>
      <c r="F125" s="115" t="s">
        <v>406</v>
      </c>
      <c r="G125" s="1173">
        <v>0</v>
      </c>
      <c r="H125" s="117" t="s">
        <v>11</v>
      </c>
      <c r="I125" s="118" t="s">
        <v>146</v>
      </c>
      <c r="J125" s="117" t="s">
        <v>414</v>
      </c>
      <c r="K125" s="12" t="s">
        <v>112</v>
      </c>
      <c r="L125" s="336">
        <v>15.77</v>
      </c>
      <c r="M125" s="204"/>
      <c r="N125" s="41">
        <f>L125+M125</f>
        <v>15.77</v>
      </c>
      <c r="O125" s="115"/>
      <c r="P125" s="115">
        <f>N125</f>
        <v>15.77</v>
      </c>
      <c r="Q125" s="115" t="s">
        <v>171</v>
      </c>
      <c r="R125" s="115"/>
      <c r="S125" s="179"/>
      <c r="T125" s="32">
        <v>20</v>
      </c>
      <c r="U125" s="1052">
        <f>T125/'Grondslag bouw &amp; infra'!$B$50</f>
        <v>7.662835249042145E-2</v>
      </c>
      <c r="V125" s="79">
        <v>5</v>
      </c>
      <c r="W125" s="80">
        <v>0</v>
      </c>
      <c r="X125" s="1052">
        <f>(V125+W125)/'Grondslag bouw &amp; infra'!$B$50</f>
        <v>1.9157088122605363E-2</v>
      </c>
      <c r="Y125" s="298"/>
      <c r="Z125" s="433"/>
      <c r="AA125" s="467"/>
      <c r="AB125" s="470"/>
      <c r="AC125" s="32">
        <v>5</v>
      </c>
      <c r="AD125" s="79">
        <v>15</v>
      </c>
      <c r="AE125" s="80">
        <v>0</v>
      </c>
      <c r="AF125" s="1086">
        <f>(AC125+AD125+AE125)/'Grondslag bouw &amp; infra'!$B$50</f>
        <v>7.662835249042145E-2</v>
      </c>
      <c r="AG125" s="1040"/>
      <c r="AH125" s="522">
        <f>(AQ125-'Grondslag bouw &amp; infra'!$B$46)*'Grondslag bouw &amp; infra'!$B$43</f>
        <v>0.22599207541651348</v>
      </c>
      <c r="AI125" s="1001">
        <v>3.6499999999999998E-2</v>
      </c>
      <c r="AJ125" s="346"/>
      <c r="AK125" s="1008"/>
      <c r="AL125" s="346"/>
      <c r="AM125" s="138">
        <v>0</v>
      </c>
      <c r="AN125" s="904"/>
      <c r="AO125" s="116"/>
      <c r="AP125" s="141"/>
      <c r="AQ125" s="30">
        <f>(P125*(AF125+AI125)+P125)</f>
        <v>17.554034118773945</v>
      </c>
      <c r="AR125" s="346"/>
      <c r="AS125" s="115"/>
      <c r="AT125" s="115"/>
      <c r="AU125" s="115"/>
      <c r="AV125" s="29">
        <v>0.68</v>
      </c>
      <c r="AW125" s="29">
        <v>1.1000000000000001</v>
      </c>
      <c r="AX125" s="29">
        <v>0.48</v>
      </c>
      <c r="AY125" s="30">
        <f>SUM(AS125:AX125)</f>
        <v>2.2600000000000002</v>
      </c>
      <c r="AZ125" s="29" t="s">
        <v>246</v>
      </c>
      <c r="BA125" s="179"/>
      <c r="BB125" s="881">
        <f>628.48+17.5</f>
        <v>645.98</v>
      </c>
      <c r="BC125" s="881">
        <f>2500.6/4</f>
        <v>625.15</v>
      </c>
      <c r="BD125" s="419">
        <f>(BB125-(AY125*5))*(1-1%)</f>
        <v>628.33320000000003</v>
      </c>
      <c r="BE125" s="30">
        <f>BD125</f>
        <v>628.33320000000003</v>
      </c>
      <c r="BF125" s="1117">
        <f>BD125</f>
        <v>628.33320000000003</v>
      </c>
      <c r="BG125" s="569"/>
      <c r="BH125" s="289"/>
      <c r="BI125" s="586"/>
    </row>
    <row r="126" spans="1:61" s="951" customFormat="1">
      <c r="A126" s="289"/>
      <c r="B126" s="935"/>
      <c r="C126" s="936"/>
      <c r="D126" s="937"/>
      <c r="E126" s="938"/>
      <c r="F126" s="938"/>
      <c r="G126" s="939"/>
      <c r="H126" s="936"/>
      <c r="I126" s="940"/>
      <c r="J126" s="936"/>
      <c r="K126" s="941"/>
      <c r="L126" s="942"/>
      <c r="M126" s="938"/>
      <c r="N126" s="937"/>
      <c r="O126" s="938"/>
      <c r="P126" s="938"/>
      <c r="Q126" s="938"/>
      <c r="R126" s="938"/>
      <c r="S126" s="943"/>
      <c r="T126" s="940"/>
      <c r="U126" s="1027"/>
      <c r="V126" s="940"/>
      <c r="W126" s="940"/>
      <c r="X126" s="1027"/>
      <c r="Y126" s="926"/>
      <c r="Z126" s="945"/>
      <c r="AA126" s="946"/>
      <c r="AB126" s="943"/>
      <c r="AC126" s="940"/>
      <c r="AD126" s="940"/>
      <c r="AE126" s="940"/>
      <c r="AF126" s="1065"/>
      <c r="AG126" s="926"/>
      <c r="AH126" s="1106"/>
      <c r="AI126" s="1001"/>
      <c r="AJ126" s="947"/>
      <c r="AK126" s="938"/>
      <c r="AL126" s="947"/>
      <c r="AM126" s="938"/>
      <c r="AN126" s="948"/>
      <c r="AO126" s="937"/>
      <c r="AP126" s="944"/>
      <c r="AQ126" s="937"/>
      <c r="AR126" s="947"/>
      <c r="AS126" s="949"/>
      <c r="AT126" s="938"/>
      <c r="AU126" s="938"/>
      <c r="AV126" s="938"/>
      <c r="AW126" s="938"/>
      <c r="AX126" s="938"/>
      <c r="AY126" s="937"/>
      <c r="AZ126" s="938"/>
      <c r="BA126" s="943"/>
      <c r="BB126" s="937"/>
      <c r="BC126" s="937"/>
      <c r="BD126" s="937"/>
      <c r="BE126" s="937"/>
      <c r="BF126" s="937"/>
      <c r="BG126" s="950"/>
      <c r="BI126" s="952"/>
    </row>
    <row r="127" spans="1:61">
      <c r="B127" s="207"/>
      <c r="C127" s="137"/>
      <c r="D127" s="163"/>
      <c r="E127" s="168"/>
      <c r="F127" s="168"/>
      <c r="G127" s="265"/>
      <c r="H127" s="208"/>
      <c r="I127" s="208"/>
      <c r="J127" s="209"/>
      <c r="K127" s="210"/>
      <c r="L127" s="326"/>
      <c r="M127" s="218"/>
      <c r="N127" s="168"/>
      <c r="O127" s="160"/>
      <c r="P127" s="160"/>
      <c r="Q127" s="160"/>
      <c r="R127" s="160"/>
      <c r="S127" s="211"/>
      <c r="T127" s="209"/>
      <c r="U127" s="1013"/>
      <c r="V127" s="209"/>
      <c r="W127" s="209"/>
      <c r="X127" s="1013"/>
      <c r="Y127" s="299"/>
      <c r="Z127" s="274"/>
      <c r="AA127" s="317"/>
      <c r="AB127" s="213"/>
      <c r="AC127" s="208"/>
      <c r="AD127" s="208"/>
      <c r="AE127" s="215"/>
      <c r="AF127" s="1051"/>
      <c r="AG127" s="1045"/>
      <c r="AH127" s="216"/>
      <c r="AI127" s="1002"/>
      <c r="AJ127" s="217"/>
      <c r="AK127" s="585"/>
      <c r="AL127" s="217"/>
      <c r="AM127" s="160"/>
      <c r="AN127" s="910"/>
      <c r="AO127" s="216"/>
      <c r="AP127" s="214"/>
      <c r="AQ127" s="216"/>
      <c r="AR127" s="217"/>
      <c r="AS127" s="328"/>
      <c r="AT127" s="160"/>
      <c r="AU127" s="160"/>
      <c r="AV127" s="160"/>
      <c r="AW127" s="160"/>
      <c r="AX127" s="160"/>
      <c r="AY127" s="329"/>
      <c r="AZ127" s="296"/>
      <c r="BA127" s="213"/>
      <c r="BB127" s="887"/>
      <c r="BC127" s="887"/>
      <c r="BD127" s="886"/>
      <c r="BE127" s="1110"/>
      <c r="BF127" s="1121"/>
      <c r="BG127" s="577"/>
      <c r="BH127" s="289"/>
    </row>
    <row r="128" spans="1:61" s="149" customFormat="1">
      <c r="A128" s="1269"/>
      <c r="B128" s="86"/>
      <c r="C128" s="143"/>
      <c r="D128" s="164"/>
      <c r="E128" s="29"/>
      <c r="F128" s="29"/>
      <c r="G128" s="263"/>
      <c r="H128" s="8"/>
      <c r="I128" s="32"/>
      <c r="J128" s="8"/>
      <c r="K128" s="7"/>
      <c r="L128" s="333"/>
      <c r="M128" s="38"/>
      <c r="N128" s="30"/>
      <c r="O128" s="29"/>
      <c r="P128" s="29"/>
      <c r="Q128" s="29"/>
      <c r="R128" s="29"/>
      <c r="S128" s="470"/>
      <c r="T128" s="32"/>
      <c r="U128" s="1016"/>
      <c r="V128" s="79"/>
      <c r="W128" s="80"/>
      <c r="X128" s="1016"/>
      <c r="Y128" s="298"/>
      <c r="Z128" s="433"/>
      <c r="AA128" s="467"/>
      <c r="AB128" s="470"/>
      <c r="AC128" s="32"/>
      <c r="AD128" s="79"/>
      <c r="AE128" s="80"/>
      <c r="AF128" s="1052"/>
      <c r="AG128" s="1041"/>
      <c r="AH128" s="522"/>
      <c r="AI128" s="1001"/>
      <c r="AJ128" s="471"/>
      <c r="AK128" s="584"/>
      <c r="AL128" s="471"/>
      <c r="AM128" s="9"/>
      <c r="AN128" s="180"/>
      <c r="AO128" s="34"/>
      <c r="AP128" s="31"/>
      <c r="AQ128" s="706"/>
      <c r="AR128" s="471"/>
      <c r="AS128" s="43"/>
      <c r="AT128" s="29"/>
      <c r="AU128" s="29"/>
      <c r="AV128" s="29"/>
      <c r="AW128" s="29"/>
      <c r="AX128" s="29"/>
      <c r="AY128" s="30"/>
      <c r="AZ128" s="29"/>
      <c r="BA128" s="470"/>
      <c r="BB128" s="419"/>
      <c r="BC128" s="419"/>
      <c r="BD128" s="419"/>
      <c r="BE128" s="41"/>
      <c r="BF128" s="1118"/>
      <c r="BG128" s="572"/>
      <c r="BH128" s="289"/>
      <c r="BI128" s="586"/>
    </row>
    <row r="129" spans="1:61" s="149" customFormat="1">
      <c r="A129" s="289"/>
      <c r="B129" s="86" t="s">
        <v>183</v>
      </c>
      <c r="C129" s="143"/>
      <c r="D129" s="164"/>
      <c r="E129" s="29" t="s">
        <v>91</v>
      </c>
      <c r="F129" s="29" t="s">
        <v>97</v>
      </c>
      <c r="G129" s="263" t="s">
        <v>122</v>
      </c>
      <c r="H129" s="8" t="s">
        <v>10</v>
      </c>
      <c r="I129" s="32" t="s">
        <v>363</v>
      </c>
      <c r="J129" s="8" t="s">
        <v>126</v>
      </c>
      <c r="K129" s="7" t="s">
        <v>128</v>
      </c>
      <c r="L129" s="333">
        <v>15.77</v>
      </c>
      <c r="M129" s="38"/>
      <c r="N129" s="30">
        <f>L129+M129</f>
        <v>15.77</v>
      </c>
      <c r="O129" s="29"/>
      <c r="P129" s="29">
        <f>N129+O129</f>
        <v>15.77</v>
      </c>
      <c r="Q129" s="29" t="s">
        <v>171</v>
      </c>
      <c r="R129" s="29"/>
      <c r="S129" s="470"/>
      <c r="T129" s="32">
        <v>20</v>
      </c>
      <c r="U129" s="1052">
        <f>T129/'Grondslag bouw &amp; infra'!$B$50</f>
        <v>7.662835249042145E-2</v>
      </c>
      <c r="V129" s="79">
        <v>5</v>
      </c>
      <c r="W129" s="80">
        <v>0</v>
      </c>
      <c r="X129" s="1052">
        <f>(V129+W129)/'Grondslag bouw &amp; infra'!$B$50</f>
        <v>1.9157088122605363E-2</v>
      </c>
      <c r="Y129" s="298"/>
      <c r="Z129" s="433"/>
      <c r="AA129" s="467"/>
      <c r="AB129" s="470"/>
      <c r="AC129" s="32">
        <v>5</v>
      </c>
      <c r="AD129" s="79">
        <v>10</v>
      </c>
      <c r="AE129" s="80">
        <v>0</v>
      </c>
      <c r="AF129" s="1086">
        <f>(AC129+AD129+AE129)/'Grondslag bouw &amp; infra'!$B$50</f>
        <v>5.7471264367816091E-2</v>
      </c>
      <c r="AG129" s="1041"/>
      <c r="AH129" s="522"/>
      <c r="AI129" s="1001">
        <v>2.3E-2</v>
      </c>
      <c r="AJ129" s="471"/>
      <c r="AK129" s="1009"/>
      <c r="AL129" s="471"/>
      <c r="AM129" s="9">
        <f>$AN$6*AN129</f>
        <v>0</v>
      </c>
      <c r="AN129" s="180"/>
      <c r="AO129" s="34"/>
      <c r="AP129" s="31"/>
      <c r="AQ129" s="30"/>
      <c r="AR129" s="471"/>
      <c r="AS129" s="43"/>
      <c r="AT129" s="29"/>
      <c r="AU129" s="29"/>
      <c r="AV129" s="29">
        <v>0.68</v>
      </c>
      <c r="AW129" s="29">
        <v>1.1000000000000001</v>
      </c>
      <c r="AX129" s="29">
        <v>0.48</v>
      </c>
      <c r="AY129" s="30">
        <f>SUM(AS129:AX129)</f>
        <v>2.2600000000000002</v>
      </c>
      <c r="AZ129" s="29" t="s">
        <v>184</v>
      </c>
      <c r="BA129" s="470"/>
      <c r="BB129" s="419">
        <f>726.25+7.58+18.11</f>
        <v>751.94</v>
      </c>
      <c r="BC129" s="419">
        <f>2405.74/4</f>
        <v>601.43499999999995</v>
      </c>
      <c r="BD129" s="917">
        <f>BB129*0.917</f>
        <v>689.52898000000005</v>
      </c>
      <c r="BE129" s="30">
        <f>BD129</f>
        <v>689.52898000000005</v>
      </c>
      <c r="BF129" s="1117">
        <f>BD129</f>
        <v>689.52898000000005</v>
      </c>
      <c r="BG129" s="572"/>
      <c r="BH129" s="289"/>
      <c r="BI129" s="586"/>
    </row>
    <row r="130" spans="1:61">
      <c r="B130" s="207"/>
      <c r="C130" s="137"/>
      <c r="D130" s="163"/>
      <c r="E130" s="168"/>
      <c r="F130" s="168"/>
      <c r="G130" s="265"/>
      <c r="H130" s="208"/>
      <c r="I130" s="208"/>
      <c r="J130" s="209"/>
      <c r="K130" s="210"/>
      <c r="L130" s="326"/>
      <c r="M130" s="218"/>
      <c r="N130" s="168"/>
      <c r="O130" s="160"/>
      <c r="P130" s="160"/>
      <c r="Q130" s="160"/>
      <c r="R130" s="160"/>
      <c r="S130" s="211"/>
      <c r="T130" s="209"/>
      <c r="U130" s="1013"/>
      <c r="V130" s="209"/>
      <c r="W130" s="209"/>
      <c r="X130" s="1013"/>
      <c r="Y130" s="299"/>
      <c r="Z130" s="274"/>
      <c r="AA130" s="317"/>
      <c r="AB130" s="213"/>
      <c r="AC130" s="208"/>
      <c r="AD130" s="208"/>
      <c r="AE130" s="215"/>
      <c r="AF130" s="1051"/>
      <c r="AG130" s="1045"/>
      <c r="AH130" s="216"/>
      <c r="AI130" s="1002"/>
      <c r="AJ130" s="217"/>
      <c r="AK130" s="585"/>
      <c r="AL130" s="217"/>
      <c r="AM130" s="160"/>
      <c r="AN130" s="910"/>
      <c r="AO130" s="216"/>
      <c r="AP130" s="214"/>
      <c r="AQ130" s="216"/>
      <c r="AR130" s="217"/>
      <c r="AS130" s="328"/>
      <c r="AT130" s="160"/>
      <c r="AU130" s="160"/>
      <c r="AV130" s="160"/>
      <c r="AW130" s="160"/>
      <c r="AX130" s="160"/>
      <c r="AY130" s="329"/>
      <c r="AZ130" s="296"/>
      <c r="BA130" s="213"/>
      <c r="BB130" s="887"/>
      <c r="BC130" s="887"/>
      <c r="BD130" s="886"/>
      <c r="BE130" s="1110"/>
      <c r="BF130" s="1121"/>
      <c r="BG130" s="577"/>
      <c r="BH130" s="289"/>
    </row>
    <row r="131" spans="1:61" s="149" customFormat="1">
      <c r="A131" s="1269"/>
      <c r="B131" s="86" t="s">
        <v>439</v>
      </c>
      <c r="C131" s="143"/>
      <c r="D131" s="164"/>
      <c r="E131" s="29" t="s">
        <v>109</v>
      </c>
      <c r="F131" s="29" t="s">
        <v>412</v>
      </c>
      <c r="G131" s="263" t="s">
        <v>85</v>
      </c>
      <c r="H131" s="8" t="s">
        <v>11</v>
      </c>
      <c r="I131" s="32" t="s">
        <v>146</v>
      </c>
      <c r="J131" s="8" t="s">
        <v>93</v>
      </c>
      <c r="K131" s="7" t="s">
        <v>64</v>
      </c>
      <c r="L131" s="333">
        <v>20.02</v>
      </c>
      <c r="M131" s="38"/>
      <c r="N131" s="30">
        <v>20.02</v>
      </c>
      <c r="O131" s="29"/>
      <c r="P131" s="29">
        <v>20.02</v>
      </c>
      <c r="Q131" s="29" t="s">
        <v>171</v>
      </c>
      <c r="R131" s="29"/>
      <c r="S131" s="470"/>
      <c r="T131" s="32">
        <v>20</v>
      </c>
      <c r="U131" s="1052">
        <v>7.662835249042145E-2</v>
      </c>
      <c r="V131" s="79">
        <v>0</v>
      </c>
      <c r="W131" s="80">
        <v>0</v>
      </c>
      <c r="X131" s="1052">
        <f>(V131+W131)/'Grondslag bouw &amp; infra'!$B$50</f>
        <v>0</v>
      </c>
      <c r="Y131" s="298"/>
      <c r="Z131" s="433"/>
      <c r="AA131" s="467"/>
      <c r="AB131" s="470"/>
      <c r="AC131" s="32">
        <v>5</v>
      </c>
      <c r="AD131" s="79">
        <v>20</v>
      </c>
      <c r="AE131" s="80">
        <v>0</v>
      </c>
      <c r="AF131" s="1052">
        <v>3.8314176245210725E-2</v>
      </c>
      <c r="AG131" s="1041"/>
      <c r="AH131" s="522">
        <f>(AQ131-'Grondslag bouw &amp; infra'!$B$46)*'Grondslag bouw &amp; infra'!$B$43</f>
        <v>0.33373461075272043</v>
      </c>
      <c r="AI131" s="1001">
        <v>3.6499999999999998E-2</v>
      </c>
      <c r="AJ131" s="471"/>
      <c r="AK131" s="584"/>
      <c r="AL131" s="471"/>
      <c r="AM131" s="9">
        <v>0</v>
      </c>
      <c r="AN131" s="180"/>
      <c r="AO131" s="34"/>
      <c r="AP131" s="31"/>
      <c r="AQ131" s="30">
        <v>21.517779808429118</v>
      </c>
      <c r="AR131" s="471"/>
      <c r="AS131" s="43"/>
      <c r="AT131" s="29">
        <v>0.96</v>
      </c>
      <c r="AU131" s="29"/>
      <c r="AV131" s="29">
        <v>0.68</v>
      </c>
      <c r="AW131" s="29">
        <v>1.1000000000000001</v>
      </c>
      <c r="AX131" s="29">
        <v>0.48</v>
      </c>
      <c r="AY131" s="30">
        <v>3.22</v>
      </c>
      <c r="AZ131" s="29" t="s">
        <v>440</v>
      </c>
      <c r="BA131" s="470"/>
      <c r="BB131" s="419">
        <v>628</v>
      </c>
      <c r="BC131" s="419">
        <f>2418.99/4</f>
        <v>604.74749999999995</v>
      </c>
      <c r="BD131" s="419">
        <f>(BB131-(AY131*5))*(1-1%)</f>
        <v>605.78099999999995</v>
      </c>
      <c r="BE131" s="30">
        <f>BD131</f>
        <v>605.78099999999995</v>
      </c>
      <c r="BF131" s="1117">
        <f>BD131</f>
        <v>605.78099999999995</v>
      </c>
      <c r="BG131" s="572" t="s">
        <v>443</v>
      </c>
      <c r="BH131" s="289"/>
      <c r="BI131" s="586"/>
    </row>
    <row r="132" spans="1:61" s="149" customFormat="1">
      <c r="A132" s="289"/>
      <c r="B132" s="86"/>
      <c r="C132" s="431"/>
      <c r="D132" s="164"/>
      <c r="E132" s="29"/>
      <c r="F132" s="29"/>
      <c r="G132" s="263"/>
      <c r="H132" s="8"/>
      <c r="I132" s="32"/>
      <c r="J132" s="8"/>
      <c r="K132" s="7"/>
      <c r="L132" s="333"/>
      <c r="M132" s="38"/>
      <c r="N132" s="30"/>
      <c r="O132" s="29"/>
      <c r="P132" s="29"/>
      <c r="Q132" s="29"/>
      <c r="R132" s="29"/>
      <c r="S132" s="470"/>
      <c r="T132" s="32"/>
      <c r="U132" s="1052"/>
      <c r="V132" s="79"/>
      <c r="W132" s="80"/>
      <c r="X132" s="1052"/>
      <c r="Y132" s="298"/>
      <c r="Z132" s="433"/>
      <c r="AA132" s="467"/>
      <c r="AB132" s="470"/>
      <c r="AC132" s="32"/>
      <c r="AD132" s="79"/>
      <c r="AE132" s="80"/>
      <c r="AF132" s="1086"/>
      <c r="AG132" s="1041"/>
      <c r="AH132" s="522"/>
      <c r="AI132" s="1001"/>
      <c r="AJ132" s="471"/>
      <c r="AK132" s="1008"/>
      <c r="AL132" s="471"/>
      <c r="AM132" s="9"/>
      <c r="AN132" s="180"/>
      <c r="AO132" s="34"/>
      <c r="AP132" s="31"/>
      <c r="AQ132" s="30"/>
      <c r="AR132" s="471"/>
      <c r="AS132" s="29"/>
      <c r="AT132" s="29"/>
      <c r="AU132" s="29"/>
      <c r="AV132" s="29"/>
      <c r="AW132" s="29"/>
      <c r="AX132" s="29"/>
      <c r="AY132" s="30"/>
      <c r="AZ132" s="29"/>
      <c r="BA132" s="470"/>
      <c r="BB132" s="419"/>
      <c r="BC132" s="419"/>
      <c r="BD132" s="419"/>
      <c r="BE132" s="30"/>
      <c r="BF132" s="1117"/>
      <c r="BG132" s="572"/>
      <c r="BH132" s="289"/>
      <c r="BI132" s="586"/>
    </row>
    <row r="133" spans="1:61">
      <c r="B133" s="207"/>
      <c r="C133" s="137"/>
      <c r="D133" s="164"/>
      <c r="E133" s="168"/>
      <c r="F133" s="168"/>
      <c r="G133" s="265"/>
      <c r="H133" s="208"/>
      <c r="I133" s="208"/>
      <c r="J133" s="209"/>
      <c r="K133" s="210"/>
      <c r="L133" s="326"/>
      <c r="M133" s="218"/>
      <c r="N133" s="168"/>
      <c r="O133" s="160"/>
      <c r="P133" s="160"/>
      <c r="Q133" s="160"/>
      <c r="R133" s="160"/>
      <c r="S133" s="211"/>
      <c r="T133" s="209"/>
      <c r="U133" s="1013"/>
      <c r="V133" s="209"/>
      <c r="W133" s="209"/>
      <c r="X133" s="1013"/>
      <c r="Y133" s="299"/>
      <c r="Z133" s="274"/>
      <c r="AA133" s="317"/>
      <c r="AB133" s="213"/>
      <c r="AC133" s="208"/>
      <c r="AD133" s="208"/>
      <c r="AE133" s="215"/>
      <c r="AF133" s="1051"/>
      <c r="AG133" s="1045"/>
      <c r="AH133" s="216"/>
      <c r="AI133" s="1002"/>
      <c r="AJ133" s="217"/>
      <c r="AK133" s="585"/>
      <c r="AL133" s="217"/>
      <c r="AM133" s="160"/>
      <c r="AN133" s="910"/>
      <c r="AO133" s="216"/>
      <c r="AP133" s="214"/>
      <c r="AQ133" s="216"/>
      <c r="AR133" s="217"/>
      <c r="AS133" s="328"/>
      <c r="AT133" s="160"/>
      <c r="AU133" s="160"/>
      <c r="AV133" s="160"/>
      <c r="AW133" s="160"/>
      <c r="AX133" s="160"/>
      <c r="AY133" s="329"/>
      <c r="AZ133" s="296"/>
      <c r="BA133" s="213"/>
      <c r="BB133" s="887"/>
      <c r="BC133" s="887"/>
      <c r="BD133" s="886"/>
      <c r="BE133" s="1110"/>
      <c r="BF133" s="1121"/>
      <c r="BG133" s="577"/>
      <c r="BH133" s="289"/>
    </row>
    <row r="134" spans="1:61" s="149" customFormat="1">
      <c r="A134" s="1269"/>
      <c r="B134" s="85" t="s">
        <v>425</v>
      </c>
      <c r="C134" s="158"/>
      <c r="D134" s="165"/>
      <c r="E134" s="29" t="s">
        <v>109</v>
      </c>
      <c r="F134" s="115" t="s">
        <v>406</v>
      </c>
      <c r="G134" s="1173">
        <v>0</v>
      </c>
      <c r="H134" s="117" t="s">
        <v>11</v>
      </c>
      <c r="I134" s="118" t="s">
        <v>146</v>
      </c>
      <c r="J134" s="117" t="s">
        <v>414</v>
      </c>
      <c r="K134" s="12" t="s">
        <v>112</v>
      </c>
      <c r="L134" s="336">
        <v>15.77</v>
      </c>
      <c r="M134" s="204"/>
      <c r="N134" s="41">
        <f>L134+M134</f>
        <v>15.77</v>
      </c>
      <c r="O134" s="115"/>
      <c r="P134" s="115">
        <f>N134</f>
        <v>15.77</v>
      </c>
      <c r="Q134" s="29" t="s">
        <v>171</v>
      </c>
      <c r="R134" s="115"/>
      <c r="S134" s="179"/>
      <c r="T134" s="32">
        <v>25</v>
      </c>
      <c r="U134" s="1052">
        <f>T134/'Grondslag bouw &amp; infra'!$B$50</f>
        <v>9.5785440613026823E-2</v>
      </c>
      <c r="V134" s="79">
        <v>20</v>
      </c>
      <c r="W134" s="80">
        <v>0</v>
      </c>
      <c r="X134" s="1052">
        <f>(V134+W134)/'Grondslag bouw &amp; infra'!$B$50</f>
        <v>7.662835249042145E-2</v>
      </c>
      <c r="Y134" s="298"/>
      <c r="Z134" s="433"/>
      <c r="AA134" s="467"/>
      <c r="AB134" s="470"/>
      <c r="AC134" s="32">
        <v>0</v>
      </c>
      <c r="AD134" s="79">
        <v>0</v>
      </c>
      <c r="AE134" s="80">
        <v>0</v>
      </c>
      <c r="AF134" s="1086">
        <f>(AC134+AD134+AE134)/'Grondslag bouw &amp; infra'!$B$50</f>
        <v>0</v>
      </c>
      <c r="AG134" s="1040"/>
      <c r="AH134" s="1184">
        <v>0.23</v>
      </c>
      <c r="AI134" s="1001">
        <v>3.6499999999999998E-2</v>
      </c>
      <c r="AJ134" s="346"/>
      <c r="AK134" s="1008"/>
      <c r="AL134" s="346"/>
      <c r="AM134" s="138">
        <v>0</v>
      </c>
      <c r="AN134" s="904"/>
      <c r="AO134" s="116"/>
      <c r="AP134" s="141"/>
      <c r="AQ134" s="30">
        <f>(P134*(AF134+AI134)+P134)</f>
        <v>16.345604999999999</v>
      </c>
      <c r="AR134" s="346"/>
      <c r="AS134" s="115">
        <v>8.17</v>
      </c>
      <c r="AT134" s="115"/>
      <c r="AU134" s="115"/>
      <c r="AV134" s="29">
        <v>0.68</v>
      </c>
      <c r="AW134" s="29">
        <v>1.1000000000000001</v>
      </c>
      <c r="AX134" s="29">
        <v>0.48</v>
      </c>
      <c r="AY134" s="1182">
        <f>SUM(AS134:AX134)</f>
        <v>10.43</v>
      </c>
      <c r="AZ134" s="29" t="s">
        <v>427</v>
      </c>
      <c r="BA134" s="179"/>
      <c r="BB134" s="881">
        <f>BC134-(5*AY134)</f>
        <v>542.49250000000006</v>
      </c>
      <c r="BC134" s="881">
        <f>2378.57/4</f>
        <v>594.64250000000004</v>
      </c>
      <c r="BD134" s="917">
        <f>BB134</f>
        <v>542.49250000000006</v>
      </c>
      <c r="BE134" s="30">
        <f>BD134</f>
        <v>542.49250000000006</v>
      </c>
      <c r="BF134" s="1117">
        <f>BD134</f>
        <v>542.49250000000006</v>
      </c>
      <c r="BG134" s="569"/>
      <c r="BH134" s="289"/>
      <c r="BI134" s="586"/>
    </row>
    <row r="135" spans="1:61">
      <c r="B135" s="86"/>
      <c r="C135" s="28"/>
      <c r="D135" s="164"/>
      <c r="E135" s="29"/>
      <c r="F135" s="29"/>
      <c r="G135" s="263"/>
      <c r="H135" s="8"/>
      <c r="I135" s="32"/>
      <c r="J135" s="8"/>
      <c r="K135" s="7"/>
      <c r="L135" s="333"/>
      <c r="M135" s="38"/>
      <c r="N135" s="30"/>
      <c r="O135" s="29"/>
      <c r="P135" s="29"/>
      <c r="Q135" s="29"/>
      <c r="R135" s="29"/>
      <c r="S135" s="470"/>
      <c r="T135" s="32"/>
      <c r="U135" s="1016"/>
      <c r="V135" s="79"/>
      <c r="W135" s="80"/>
      <c r="X135" s="1016"/>
      <c r="Z135" s="433"/>
      <c r="AA135" s="467"/>
      <c r="AB135" s="470"/>
      <c r="AC135" s="32"/>
      <c r="AD135" s="79"/>
      <c r="AE135" s="80"/>
      <c r="AF135" s="1052"/>
      <c r="AG135" s="1041"/>
      <c r="AH135" s="522"/>
      <c r="AI135" s="1001" t="s">
        <v>389</v>
      </c>
      <c r="AJ135" s="470"/>
      <c r="AL135" s="470"/>
      <c r="AO135" s="34"/>
      <c r="AQ135" s="30"/>
      <c r="AR135" s="470"/>
      <c r="AS135" s="43"/>
      <c r="AT135" s="29"/>
      <c r="AU135" s="29"/>
      <c r="AV135" s="29"/>
      <c r="AW135" s="29"/>
      <c r="AX135" s="29"/>
      <c r="AY135" s="30"/>
      <c r="AZ135" s="29"/>
      <c r="BA135" s="470"/>
      <c r="BB135" s="419"/>
      <c r="BC135" s="419"/>
      <c r="BD135" s="419"/>
      <c r="BE135" s="30"/>
      <c r="BF135" s="1118"/>
      <c r="BG135" s="572"/>
    </row>
    <row r="136" spans="1:61">
      <c r="B136" s="207"/>
      <c r="C136" s="170"/>
      <c r="D136" s="831"/>
      <c r="E136" s="168"/>
      <c r="F136" s="168"/>
      <c r="G136" s="265"/>
      <c r="H136" s="208"/>
      <c r="I136" s="208"/>
      <c r="J136" s="209"/>
      <c r="K136" s="210"/>
      <c r="L136" s="326"/>
      <c r="M136" s="218"/>
      <c r="N136" s="168"/>
      <c r="O136" s="160"/>
      <c r="P136" s="160"/>
      <c r="Q136" s="160"/>
      <c r="R136" s="160"/>
      <c r="S136" s="211"/>
      <c r="T136" s="209"/>
      <c r="U136" s="1013"/>
      <c r="V136" s="209"/>
      <c r="W136" s="209"/>
      <c r="X136" s="1013"/>
      <c r="Y136" s="299"/>
      <c r="Z136" s="274"/>
      <c r="AA136" s="317"/>
      <c r="AB136" s="213"/>
      <c r="AC136" s="208"/>
      <c r="AD136" s="208"/>
      <c r="AE136" s="215"/>
      <c r="AF136" s="1051"/>
      <c r="AG136" s="1045"/>
      <c r="AH136" s="216"/>
      <c r="AI136" s="1002"/>
      <c r="AJ136" s="217"/>
      <c r="AK136" s="585"/>
      <c r="AL136" s="217"/>
      <c r="AM136" s="160"/>
      <c r="AN136" s="910"/>
      <c r="AO136" s="216"/>
      <c r="AP136" s="214"/>
      <c r="AQ136" s="216"/>
      <c r="AR136" s="217"/>
      <c r="AS136" s="328"/>
      <c r="AT136" s="160"/>
      <c r="AU136" s="160"/>
      <c r="AV136" s="160"/>
      <c r="AW136" s="160"/>
      <c r="AX136" s="160"/>
      <c r="AY136" s="329"/>
      <c r="AZ136" s="296"/>
      <c r="BA136" s="213"/>
      <c r="BB136" s="887"/>
      <c r="BC136" s="887"/>
      <c r="BD136" s="886"/>
      <c r="BE136" s="1110"/>
      <c r="BF136" s="1121"/>
      <c r="BG136" s="577"/>
    </row>
    <row r="137" spans="1:61">
      <c r="A137" s="1269"/>
      <c r="B137" s="86"/>
      <c r="C137" s="143"/>
      <c r="D137" s="164"/>
      <c r="E137" s="29"/>
      <c r="F137" s="29"/>
      <c r="G137" s="263"/>
      <c r="H137" s="8"/>
      <c r="I137" s="32"/>
      <c r="J137" s="8"/>
      <c r="K137" s="7"/>
      <c r="L137" s="333"/>
      <c r="M137" s="38"/>
      <c r="N137" s="30"/>
      <c r="O137" s="29"/>
      <c r="P137" s="29"/>
      <c r="Q137" s="29"/>
      <c r="R137" s="29"/>
      <c r="S137" s="470"/>
      <c r="T137" s="32"/>
      <c r="U137" s="1016"/>
      <c r="V137" s="79"/>
      <c r="W137" s="80"/>
      <c r="X137" s="1016"/>
      <c r="Z137" s="433"/>
      <c r="AA137" s="467"/>
      <c r="AB137" s="470"/>
      <c r="AC137" s="32"/>
      <c r="AD137" s="79"/>
      <c r="AE137" s="80"/>
      <c r="AF137" s="1052"/>
      <c r="AG137" s="1041"/>
      <c r="AH137" s="522"/>
      <c r="AJ137" s="471"/>
      <c r="AL137" s="471"/>
      <c r="AO137" s="34"/>
      <c r="AQ137" s="706"/>
      <c r="AR137" s="471"/>
      <c r="AS137" s="43"/>
      <c r="AT137" s="29"/>
      <c r="AU137" s="29"/>
      <c r="AV137" s="29"/>
      <c r="AW137" s="29"/>
      <c r="AX137" s="29"/>
      <c r="AY137" s="30"/>
      <c r="AZ137" s="29"/>
      <c r="BA137" s="470"/>
      <c r="BB137" s="419"/>
      <c r="BC137" s="419"/>
      <c r="BD137" s="419"/>
      <c r="BE137" s="41"/>
      <c r="BF137" s="1118"/>
      <c r="BG137" s="572"/>
    </row>
    <row r="138" spans="1:61" s="149" customFormat="1">
      <c r="A138" s="289"/>
      <c r="B138" s="86" t="s">
        <v>244</v>
      </c>
      <c r="C138" s="431"/>
      <c r="D138" s="164">
        <f>147.34</f>
        <v>147.34</v>
      </c>
      <c r="E138" s="29" t="s">
        <v>109</v>
      </c>
      <c r="F138" s="29" t="s">
        <v>412</v>
      </c>
      <c r="G138" s="263" t="s">
        <v>85</v>
      </c>
      <c r="H138" s="8" t="s">
        <v>11</v>
      </c>
      <c r="I138" s="32" t="s">
        <v>455</v>
      </c>
      <c r="J138" s="8" t="s">
        <v>93</v>
      </c>
      <c r="K138" s="7" t="s">
        <v>64</v>
      </c>
      <c r="L138" s="333">
        <v>20.02</v>
      </c>
      <c r="M138" s="38"/>
      <c r="N138" s="30">
        <f>L138+M138</f>
        <v>20.02</v>
      </c>
      <c r="O138" s="29"/>
      <c r="P138" s="29">
        <f>N138+O138</f>
        <v>20.02</v>
      </c>
      <c r="Q138" s="29"/>
      <c r="R138" s="29"/>
      <c r="S138" s="470"/>
      <c r="T138" s="32">
        <v>20</v>
      </c>
      <c r="U138" s="1052">
        <f>T138/'Grondslag bouw &amp; infra'!$B$50</f>
        <v>7.662835249042145E-2</v>
      </c>
      <c r="V138" s="79">
        <v>15</v>
      </c>
      <c r="W138" s="80">
        <v>0</v>
      </c>
      <c r="X138" s="1052">
        <f>(V138+W138)/'Grondslag bouw &amp; infra'!$B$50</f>
        <v>5.7471264367816091E-2</v>
      </c>
      <c r="Y138" s="298"/>
      <c r="Z138" s="433"/>
      <c r="AA138" s="467"/>
      <c r="AB138" s="470"/>
      <c r="AC138" s="32">
        <v>5</v>
      </c>
      <c r="AD138" s="79">
        <v>5</v>
      </c>
      <c r="AE138" s="80">
        <v>7</v>
      </c>
      <c r="AF138" s="1086">
        <f>(AC138+AD138+AE138)/'Grondslag bouw &amp; infra'!$B$50</f>
        <v>6.5134099616858232E-2</v>
      </c>
      <c r="AG138" s="1041"/>
      <c r="AH138" s="522">
        <f>(AQ138-'Grondslag bouw &amp; infra'!$B$46)*'Grondslag bouw &amp; infra'!$B$43</f>
        <v>0.34832957427762468</v>
      </c>
      <c r="AI138" s="1001">
        <v>3.6499999999999998E-2</v>
      </c>
      <c r="AJ138" s="471"/>
      <c r="AK138" s="1008"/>
      <c r="AL138" s="471"/>
      <c r="AM138" s="9">
        <f>$AN$6*AN138</f>
        <v>0</v>
      </c>
      <c r="AN138" s="180"/>
      <c r="AO138" s="34"/>
      <c r="AP138" s="31"/>
      <c r="AQ138" s="30">
        <f>(P138*(AF138+AI138)+P138)</f>
        <v>22.054714674329503</v>
      </c>
      <c r="AR138" s="471"/>
      <c r="AS138" s="29"/>
      <c r="AT138" s="29">
        <v>0.96</v>
      </c>
      <c r="AU138" s="29"/>
      <c r="AV138" s="29">
        <v>0.68</v>
      </c>
      <c r="AW138" s="29">
        <v>1.1000000000000001</v>
      </c>
      <c r="AX138" s="29">
        <v>0.48</v>
      </c>
      <c r="AY138" s="30">
        <f>SUM(AS138:AX138)</f>
        <v>3.22</v>
      </c>
      <c r="AZ138" s="29">
        <v>0.32</v>
      </c>
      <c r="BA138" s="470"/>
      <c r="BB138" s="419">
        <f>724.8+7.11</f>
        <v>731.91</v>
      </c>
      <c r="BC138" s="419">
        <f>2809.26/4</f>
        <v>702.31500000000005</v>
      </c>
      <c r="BD138" s="419">
        <f>(BB138-(AY138*5))*(1-1%)</f>
        <v>708.65189999999996</v>
      </c>
      <c r="BE138" s="30">
        <f>BD138</f>
        <v>708.65189999999996</v>
      </c>
      <c r="BF138" s="1117">
        <f>BD138</f>
        <v>708.65189999999996</v>
      </c>
      <c r="BG138" s="572"/>
      <c r="BH138" s="289"/>
      <c r="BI138" s="586"/>
    </row>
    <row r="139" spans="1:61">
      <c r="B139" s="207"/>
      <c r="C139" s="137"/>
      <c r="D139" s="163"/>
      <c r="E139" s="168"/>
      <c r="F139" s="168"/>
      <c r="G139" s="265"/>
      <c r="H139" s="208"/>
      <c r="I139" s="208"/>
      <c r="J139" s="209"/>
      <c r="K139" s="210"/>
      <c r="L139" s="326"/>
      <c r="M139" s="218"/>
      <c r="N139" s="168"/>
      <c r="O139" s="160"/>
      <c r="P139" s="160"/>
      <c r="Q139" s="160"/>
      <c r="R139" s="160"/>
      <c r="S139" s="211"/>
      <c r="T139" s="209"/>
      <c r="U139" s="1013"/>
      <c r="V139" s="209"/>
      <c r="W139" s="209"/>
      <c r="X139" s="1013"/>
      <c r="Y139" s="299"/>
      <c r="Z139" s="274"/>
      <c r="AA139" s="317"/>
      <c r="AB139" s="213"/>
      <c r="AC139" s="208"/>
      <c r="AD139" s="208"/>
      <c r="AE139" s="215"/>
      <c r="AF139" s="1051"/>
      <c r="AG139" s="1045"/>
      <c r="AH139" s="216"/>
      <c r="AI139" s="1002"/>
      <c r="AJ139" s="217"/>
      <c r="AK139" s="585"/>
      <c r="AL139" s="217"/>
      <c r="AM139" s="160"/>
      <c r="AN139" s="910"/>
      <c r="AO139" s="216"/>
      <c r="AP139" s="214"/>
      <c r="AQ139" s="216"/>
      <c r="AR139" s="217"/>
      <c r="AS139" s="328"/>
      <c r="AT139" s="160"/>
      <c r="AU139" s="160"/>
      <c r="AV139" s="160"/>
      <c r="AW139" s="160"/>
      <c r="AX139" s="160"/>
      <c r="AY139" s="329"/>
      <c r="AZ139" s="296"/>
      <c r="BA139" s="213"/>
      <c r="BB139" s="887"/>
      <c r="BC139" s="887"/>
      <c r="BD139" s="886"/>
      <c r="BE139" s="1110"/>
      <c r="BF139" s="1121"/>
      <c r="BG139" s="577"/>
    </row>
    <row r="140" spans="1:61" s="149" customFormat="1">
      <c r="A140" s="1269"/>
      <c r="B140" s="86"/>
      <c r="C140" s="29"/>
      <c r="D140" s="164"/>
      <c r="E140" s="29"/>
      <c r="F140" s="29"/>
      <c r="G140" s="74"/>
      <c r="H140" s="8"/>
      <c r="I140" s="32"/>
      <c r="J140" s="8"/>
      <c r="K140" s="7"/>
      <c r="L140" s="333"/>
      <c r="M140" s="38"/>
      <c r="N140" s="30"/>
      <c r="O140" s="29"/>
      <c r="P140" s="29"/>
      <c r="Q140" s="29"/>
      <c r="R140" s="29"/>
      <c r="S140" s="470"/>
      <c r="T140" s="32"/>
      <c r="U140" s="1052"/>
      <c r="V140" s="79"/>
      <c r="W140" s="80"/>
      <c r="X140" s="1052"/>
      <c r="Y140" s="298"/>
      <c r="Z140" s="433"/>
      <c r="AA140" s="467"/>
      <c r="AB140" s="213"/>
      <c r="AC140" s="32"/>
      <c r="AD140" s="79"/>
      <c r="AE140" s="80"/>
      <c r="AF140" s="1052"/>
      <c r="AG140" s="1041"/>
      <c r="AH140" s="522"/>
      <c r="AI140" s="1001"/>
      <c r="AJ140" s="471"/>
      <c r="AK140" s="1008"/>
      <c r="AL140" s="471"/>
      <c r="AM140" s="9"/>
      <c r="AN140" s="180"/>
      <c r="AO140" s="34"/>
      <c r="AP140" s="31"/>
      <c r="AQ140" s="30"/>
      <c r="AR140" s="471"/>
      <c r="AS140" s="43"/>
      <c r="AT140" s="29"/>
      <c r="AU140" s="29"/>
      <c r="AV140" s="29"/>
      <c r="AW140" s="29"/>
      <c r="AX140" s="29"/>
      <c r="AY140" s="30"/>
      <c r="AZ140" s="29"/>
      <c r="BA140" s="470"/>
      <c r="BB140" s="419"/>
      <c r="BC140" s="419"/>
      <c r="BD140" s="419"/>
      <c r="BE140" s="30"/>
      <c r="BF140" s="1118"/>
      <c r="BG140" s="569"/>
      <c r="BH140" s="289"/>
      <c r="BI140" s="586"/>
    </row>
    <row r="141" spans="1:61" s="149" customFormat="1">
      <c r="A141" s="289"/>
      <c r="B141" s="86" t="s">
        <v>415</v>
      </c>
      <c r="C141" s="29"/>
      <c r="D141" s="164"/>
      <c r="E141" s="29" t="s">
        <v>109</v>
      </c>
      <c r="F141" s="29" t="s">
        <v>406</v>
      </c>
      <c r="G141" s="74">
        <v>0</v>
      </c>
      <c r="H141" s="8" t="s">
        <v>11</v>
      </c>
      <c r="I141" s="32" t="s">
        <v>418</v>
      </c>
      <c r="J141" s="8" t="s">
        <v>414</v>
      </c>
      <c r="K141" s="7" t="s">
        <v>112</v>
      </c>
      <c r="L141" s="333">
        <v>15.77</v>
      </c>
      <c r="M141" s="38"/>
      <c r="N141" s="30">
        <f>L141+M141</f>
        <v>15.77</v>
      </c>
      <c r="O141" s="29"/>
      <c r="P141" s="29">
        <f>N141+O141</f>
        <v>15.77</v>
      </c>
      <c r="Q141" s="29" t="s">
        <v>171</v>
      </c>
      <c r="R141" s="29"/>
      <c r="S141" s="470"/>
      <c r="T141" s="32">
        <v>20</v>
      </c>
      <c r="U141" s="1052">
        <f>T141/'Grondslag bouw &amp; infra'!$B$50</f>
        <v>7.662835249042145E-2</v>
      </c>
      <c r="V141" s="79">
        <v>10</v>
      </c>
      <c r="W141" s="80">
        <v>0</v>
      </c>
      <c r="X141" s="1052">
        <f>(V141+W141)/'Grondslag bouw &amp; infra'!$B$50</f>
        <v>3.8314176245210725E-2</v>
      </c>
      <c r="Y141" s="298"/>
      <c r="Z141" s="433"/>
      <c r="AA141" s="467"/>
      <c r="AB141" s="213"/>
      <c r="AC141" s="32">
        <v>5</v>
      </c>
      <c r="AD141" s="79">
        <v>10</v>
      </c>
      <c r="AE141" s="80">
        <v>10</v>
      </c>
      <c r="AF141" s="1052">
        <v>7.2800000000000004E-2</v>
      </c>
      <c r="AG141" s="1041"/>
      <c r="AH141" s="522">
        <f>(AQ141-'Grondslag bouw &amp; infra'!$B$46)*'Grondslag bouw &amp; infra'!$B$43</f>
        <v>0.22435101330200008</v>
      </c>
      <c r="AI141" s="1001">
        <v>3.6499999999999998E-2</v>
      </c>
      <c r="AJ141" s="471"/>
      <c r="AK141" s="1008"/>
      <c r="AL141" s="471"/>
      <c r="AM141" s="9">
        <v>0</v>
      </c>
      <c r="AN141" s="180"/>
      <c r="AO141" s="34"/>
      <c r="AP141" s="31"/>
      <c r="AQ141" s="30">
        <f>(P141*(AF141+AI141)+P141)</f>
        <v>17.493660999999999</v>
      </c>
      <c r="AR141" s="471"/>
      <c r="AS141" s="43"/>
      <c r="AT141" s="29"/>
      <c r="AU141" s="29"/>
      <c r="AV141" s="29">
        <v>0.68</v>
      </c>
      <c r="AW141" s="29">
        <v>1.1000000000000001</v>
      </c>
      <c r="AX141" s="29">
        <v>0.48</v>
      </c>
      <c r="AY141" s="30">
        <f>SUM(AS141:AX141)</f>
        <v>2.2600000000000002</v>
      </c>
      <c r="AZ141" s="29" t="s">
        <v>416</v>
      </c>
      <c r="BA141" s="470"/>
      <c r="BB141" s="419">
        <v>750</v>
      </c>
      <c r="BC141" s="419">
        <f>2524.05/4</f>
        <v>631.01250000000005</v>
      </c>
      <c r="BD141" s="419">
        <f>(BB141-(AY141*5))*(1-1%)</f>
        <v>731.31299999999999</v>
      </c>
      <c r="BE141" s="30">
        <f>BD141</f>
        <v>731.31299999999999</v>
      </c>
      <c r="BF141" s="1118">
        <f>BD141</f>
        <v>731.31299999999999</v>
      </c>
      <c r="BG141" s="569" t="s">
        <v>417</v>
      </c>
      <c r="BH141" s="289"/>
      <c r="BI141" s="586"/>
    </row>
    <row r="142" spans="1:61">
      <c r="B142" s="207"/>
      <c r="C142" s="137"/>
      <c r="D142" s="163"/>
      <c r="E142" s="168"/>
      <c r="F142" s="168"/>
      <c r="G142" s="265"/>
      <c r="H142" s="208"/>
      <c r="I142" s="208"/>
      <c r="J142" s="209"/>
      <c r="K142" s="210"/>
      <c r="L142" s="326"/>
      <c r="M142" s="218"/>
      <c r="N142" s="168"/>
      <c r="O142" s="160"/>
      <c r="P142" s="160"/>
      <c r="Q142" s="160"/>
      <c r="R142" s="160"/>
      <c r="S142" s="211"/>
      <c r="T142" s="209"/>
      <c r="U142" s="1013"/>
      <c r="V142" s="209"/>
      <c r="W142" s="209"/>
      <c r="X142" s="1013"/>
      <c r="Y142" s="299"/>
      <c r="Z142" s="274"/>
      <c r="AA142" s="317"/>
      <c r="AB142" s="213"/>
      <c r="AC142" s="208"/>
      <c r="AD142" s="208"/>
      <c r="AE142" s="215"/>
      <c r="AF142" s="1051"/>
      <c r="AG142" s="1045"/>
      <c r="AH142" s="216"/>
      <c r="AI142" s="1002"/>
      <c r="AJ142" s="217"/>
      <c r="AK142" s="585"/>
      <c r="AL142" s="217"/>
      <c r="AM142" s="160"/>
      <c r="AN142" s="910"/>
      <c r="AO142" s="216"/>
      <c r="AP142" s="214"/>
      <c r="AQ142" s="216"/>
      <c r="AR142" s="217"/>
      <c r="AS142" s="328"/>
      <c r="AT142" s="160"/>
      <c r="AU142" s="160"/>
      <c r="AV142" s="160"/>
      <c r="AW142" s="160"/>
      <c r="AX142" s="160"/>
      <c r="AY142" s="329"/>
      <c r="AZ142" s="296"/>
      <c r="BA142" s="213"/>
      <c r="BB142" s="887"/>
      <c r="BC142" s="887"/>
      <c r="BD142" s="886"/>
      <c r="BE142" s="1110"/>
      <c r="BF142" s="1121"/>
      <c r="BG142" s="577"/>
      <c r="BH142" s="289"/>
    </row>
    <row r="143" spans="1:61" s="149" customFormat="1">
      <c r="A143" s="1269"/>
      <c r="B143" s="86" t="s">
        <v>199</v>
      </c>
      <c r="C143" s="143"/>
      <c r="D143" s="164"/>
      <c r="E143" s="29" t="s">
        <v>91</v>
      </c>
      <c r="F143" s="29" t="s">
        <v>118</v>
      </c>
      <c r="G143" s="263" t="s">
        <v>122</v>
      </c>
      <c r="H143" s="8" t="s">
        <v>11</v>
      </c>
      <c r="I143" s="32" t="s">
        <v>111</v>
      </c>
      <c r="J143" s="8" t="s">
        <v>93</v>
      </c>
      <c r="K143" s="7" t="s">
        <v>64</v>
      </c>
      <c r="L143" s="333">
        <v>20.02</v>
      </c>
      <c r="M143" s="38"/>
      <c r="N143" s="30">
        <f>L143+M143</f>
        <v>20.02</v>
      </c>
      <c r="O143" s="29"/>
      <c r="P143" s="29">
        <f>N143+O143</f>
        <v>20.02</v>
      </c>
      <c r="Q143" s="29"/>
      <c r="R143" s="29"/>
      <c r="S143" s="470"/>
      <c r="T143" s="32">
        <v>20</v>
      </c>
      <c r="U143" s="1052">
        <f>T143/'Grondslag bouw &amp; infra'!$B$50</f>
        <v>7.662835249042145E-2</v>
      </c>
      <c r="V143" s="79">
        <v>7</v>
      </c>
      <c r="W143" s="80">
        <v>0</v>
      </c>
      <c r="X143" s="1052">
        <f>(V143+W143)/'Grondslag bouw &amp; infra'!$B$50</f>
        <v>2.681992337164751E-2</v>
      </c>
      <c r="Y143" s="298"/>
      <c r="Z143" s="433"/>
      <c r="AA143" s="467"/>
      <c r="AB143" s="470"/>
      <c r="AC143" s="32">
        <v>5</v>
      </c>
      <c r="AD143" s="79">
        <v>13</v>
      </c>
      <c r="AE143" s="80">
        <v>0</v>
      </c>
      <c r="AF143" s="1086">
        <f>(AC143+AD143+AE143)/'Grondslag bouw &amp; infra'!$B$50</f>
        <v>6.8965517241379309E-2</v>
      </c>
      <c r="AG143" s="1041"/>
      <c r="AH143" s="522"/>
      <c r="AI143" s="1001">
        <v>3.6499999999999998E-2</v>
      </c>
      <c r="AJ143" s="471"/>
      <c r="AK143" s="1008"/>
      <c r="AL143" s="471"/>
      <c r="AM143" s="9">
        <f>$AN$6*AN143</f>
        <v>0</v>
      </c>
      <c r="AN143" s="180"/>
      <c r="AO143" s="34"/>
      <c r="AP143" s="31"/>
      <c r="AQ143" s="30"/>
      <c r="AR143" s="471"/>
      <c r="AS143" s="43"/>
      <c r="AT143" s="29">
        <v>0.96</v>
      </c>
      <c r="AU143" s="29"/>
      <c r="AV143" s="29">
        <v>0.68</v>
      </c>
      <c r="AW143" s="29">
        <v>1.1000000000000001</v>
      </c>
      <c r="AX143" s="29">
        <v>0.48</v>
      </c>
      <c r="AY143" s="30">
        <f>SUM(AS143:AX143)</f>
        <v>3.22</v>
      </c>
      <c r="AZ143" s="29">
        <v>0.32</v>
      </c>
      <c r="BA143" s="470"/>
      <c r="BB143" s="419">
        <f>650+8.77+63.25</f>
        <v>722.02</v>
      </c>
      <c r="BC143" s="419">
        <f>2718.28/4</f>
        <v>679.57</v>
      </c>
      <c r="BD143" s="419">
        <f>(BB143-(AY143*5))*(1-1%)</f>
        <v>698.86079999999993</v>
      </c>
      <c r="BE143" s="30">
        <f>BD143</f>
        <v>698.86079999999993</v>
      </c>
      <c r="BF143" s="1118">
        <f>BD143</f>
        <v>698.86079999999993</v>
      </c>
      <c r="BG143" s="572"/>
      <c r="BH143" s="289"/>
      <c r="BI143" s="586"/>
    </row>
    <row r="144" spans="1:61">
      <c r="B144" s="86"/>
      <c r="C144" s="28"/>
      <c r="D144" s="164"/>
      <c r="E144" s="29"/>
      <c r="F144" s="29"/>
      <c r="G144" s="263"/>
      <c r="H144" s="143"/>
      <c r="I144" s="32"/>
      <c r="J144" s="8"/>
      <c r="K144" s="7"/>
      <c r="L144" s="324"/>
      <c r="M144" s="38"/>
      <c r="N144" s="30"/>
      <c r="O144" s="29"/>
      <c r="P144" s="29"/>
      <c r="Q144" s="29"/>
      <c r="R144" s="29"/>
      <c r="S144" s="76"/>
      <c r="T144" s="32"/>
      <c r="U144" s="1016"/>
      <c r="V144" s="79"/>
      <c r="W144" s="80"/>
      <c r="X144" s="1016"/>
      <c r="Z144" s="35"/>
      <c r="AA144" s="316"/>
      <c r="AB144" s="45"/>
      <c r="AC144" s="32"/>
      <c r="AD144" s="79"/>
      <c r="AE144" s="80"/>
      <c r="AF144" s="1052"/>
      <c r="AG144" s="1041"/>
      <c r="AH144" s="522"/>
      <c r="AJ144" s="47"/>
      <c r="AL144" s="47"/>
      <c r="AO144" s="34"/>
      <c r="AQ144" s="706"/>
      <c r="AR144" s="47"/>
      <c r="AS144" s="43"/>
      <c r="AT144" s="29"/>
      <c r="AU144" s="29"/>
      <c r="AZ144" s="143"/>
      <c r="BB144" s="419"/>
      <c r="BC144" s="419"/>
      <c r="BD144" s="419"/>
      <c r="BE144" s="30"/>
      <c r="BF144" s="1118"/>
      <c r="BG144" s="579"/>
      <c r="BH144" s="289"/>
    </row>
    <row r="145" spans="1:61">
      <c r="B145" s="207"/>
      <c r="C145" s="137"/>
      <c r="D145" s="163"/>
      <c r="E145" s="168"/>
      <c r="F145" s="168"/>
      <c r="G145" s="265"/>
      <c r="H145" s="208"/>
      <c r="I145" s="208"/>
      <c r="J145" s="209"/>
      <c r="K145" s="210"/>
      <c r="L145" s="326"/>
      <c r="M145" s="218"/>
      <c r="N145" s="168"/>
      <c r="O145" s="160"/>
      <c r="P145" s="160"/>
      <c r="Q145" s="160"/>
      <c r="R145" s="160"/>
      <c r="S145" s="211"/>
      <c r="T145" s="209"/>
      <c r="U145" s="1013"/>
      <c r="V145" s="209"/>
      <c r="W145" s="209"/>
      <c r="X145" s="1013"/>
      <c r="Y145" s="299"/>
      <c r="Z145" s="274"/>
      <c r="AA145" s="317"/>
      <c r="AB145" s="213"/>
      <c r="AC145" s="208"/>
      <c r="AD145" s="208"/>
      <c r="AE145" s="215"/>
      <c r="AF145" s="1051"/>
      <c r="AG145" s="1045"/>
      <c r="AH145" s="216"/>
      <c r="AI145" s="1002"/>
      <c r="AJ145" s="217"/>
      <c r="AK145" s="585"/>
      <c r="AL145" s="217"/>
      <c r="AM145" s="160"/>
      <c r="AN145" s="910"/>
      <c r="AO145" s="216"/>
      <c r="AP145" s="214"/>
      <c r="AQ145" s="216"/>
      <c r="AR145" s="217"/>
      <c r="AS145" s="328"/>
      <c r="AT145" s="160"/>
      <c r="AU145" s="160"/>
      <c r="AV145" s="160"/>
      <c r="AW145" s="160"/>
      <c r="AX145" s="160"/>
      <c r="AY145" s="329"/>
      <c r="AZ145" s="296"/>
      <c r="BA145" s="213"/>
      <c r="BB145" s="887"/>
      <c r="BC145" s="887"/>
      <c r="BD145" s="886"/>
      <c r="BE145" s="1110"/>
      <c r="BF145" s="1121"/>
      <c r="BG145" s="577"/>
      <c r="BH145" s="289"/>
    </row>
    <row r="146" spans="1:61" s="149" customFormat="1">
      <c r="A146" s="1269"/>
      <c r="B146" s="86"/>
      <c r="C146" s="143"/>
      <c r="D146" s="164"/>
      <c r="E146" s="29"/>
      <c r="F146" s="29"/>
      <c r="G146" s="263"/>
      <c r="H146" s="8"/>
      <c r="I146" s="32"/>
      <c r="J146" s="8"/>
      <c r="K146" s="7"/>
      <c r="L146" s="333"/>
      <c r="M146" s="38"/>
      <c r="N146" s="30"/>
      <c r="O146" s="29"/>
      <c r="P146" s="29"/>
      <c r="Q146" s="29"/>
      <c r="R146" s="29"/>
      <c r="S146" s="470"/>
      <c r="T146" s="32"/>
      <c r="U146" s="1016"/>
      <c r="V146" s="79"/>
      <c r="W146" s="80"/>
      <c r="X146" s="1016"/>
      <c r="Y146" s="298"/>
      <c r="Z146" s="433"/>
      <c r="AA146" s="467"/>
      <c r="AB146" s="470"/>
      <c r="AC146" s="32"/>
      <c r="AD146" s="79"/>
      <c r="AE146" s="80"/>
      <c r="AF146" s="1052"/>
      <c r="AG146" s="1041"/>
      <c r="AH146" s="522"/>
      <c r="AI146" s="1001"/>
      <c r="AJ146" s="471"/>
      <c r="AK146" s="584"/>
      <c r="AL146" s="471"/>
      <c r="AM146" s="9"/>
      <c r="AN146" s="180"/>
      <c r="AO146" s="34"/>
      <c r="AP146" s="31"/>
      <c r="AQ146" s="706"/>
      <c r="AR146" s="471"/>
      <c r="AS146" s="43"/>
      <c r="AT146" s="29"/>
      <c r="AU146" s="29"/>
      <c r="AV146" s="29"/>
      <c r="AW146" s="29"/>
      <c r="AX146" s="29"/>
      <c r="AY146" s="30"/>
      <c r="AZ146" s="29"/>
      <c r="BA146" s="470"/>
      <c r="BB146" s="419"/>
      <c r="BC146" s="419"/>
      <c r="BD146" s="419"/>
      <c r="BE146" s="41"/>
      <c r="BF146" s="1118"/>
      <c r="BG146" s="572"/>
      <c r="BH146" s="289"/>
      <c r="BI146" s="586"/>
    </row>
    <row r="147" spans="1:61" s="149" customFormat="1">
      <c r="A147" s="289"/>
      <c r="B147" s="86" t="s">
        <v>200</v>
      </c>
      <c r="C147" s="143"/>
      <c r="D147" s="164"/>
      <c r="E147" s="29" t="s">
        <v>91</v>
      </c>
      <c r="F147" s="29" t="s">
        <v>224</v>
      </c>
      <c r="G147" s="263" t="s">
        <v>122</v>
      </c>
      <c r="H147" s="8" t="s">
        <v>10</v>
      </c>
      <c r="I147" s="32" t="s">
        <v>367</v>
      </c>
      <c r="J147" s="8" t="s">
        <v>126</v>
      </c>
      <c r="K147" s="7" t="s">
        <v>128</v>
      </c>
      <c r="L147" s="333">
        <v>15.77</v>
      </c>
      <c r="M147" s="38"/>
      <c r="N147" s="30">
        <f>L147+M147</f>
        <v>15.77</v>
      </c>
      <c r="O147" s="29"/>
      <c r="P147" s="29">
        <f>N147+O147</f>
        <v>15.77</v>
      </c>
      <c r="Q147" s="29"/>
      <c r="R147" s="29"/>
      <c r="S147" s="470"/>
      <c r="T147" s="32">
        <v>20</v>
      </c>
      <c r="U147" s="1052">
        <f>T147/'Grondslag bouw &amp; infra'!$B$50</f>
        <v>7.662835249042145E-2</v>
      </c>
      <c r="V147" s="79">
        <v>10</v>
      </c>
      <c r="W147" s="80">
        <v>0</v>
      </c>
      <c r="X147" s="1052">
        <f>(V147+W147)/'Grondslag bouw &amp; infra'!$B$50</f>
        <v>3.8314176245210725E-2</v>
      </c>
      <c r="Y147" s="298"/>
      <c r="Z147" s="433"/>
      <c r="AA147" s="467"/>
      <c r="AB147" s="470"/>
      <c r="AC147" s="32">
        <v>5</v>
      </c>
      <c r="AD147" s="79">
        <v>5</v>
      </c>
      <c r="AE147" s="80">
        <v>9</v>
      </c>
      <c r="AF147" s="1086">
        <f>(AC147+AD147+AE147)/'Grondslag bouw &amp; infra'!$B$50</f>
        <v>7.2796934865900387E-2</v>
      </c>
      <c r="AG147" s="1041"/>
      <c r="AH147" s="522"/>
      <c r="AI147" s="1001">
        <v>2.3E-2</v>
      </c>
      <c r="AJ147" s="471"/>
      <c r="AK147" s="1008"/>
      <c r="AL147" s="471"/>
      <c r="AM147" s="9">
        <f>$AN$6*AN147</f>
        <v>0</v>
      </c>
      <c r="AN147" s="180"/>
      <c r="AO147" s="34"/>
      <c r="AP147" s="31"/>
      <c r="AQ147" s="30"/>
      <c r="AR147" s="471"/>
      <c r="AS147" s="43"/>
      <c r="AT147" s="29"/>
      <c r="AU147" s="29"/>
      <c r="AV147" s="29">
        <v>0.68</v>
      </c>
      <c r="AW147" s="29">
        <v>1.1000000000000001</v>
      </c>
      <c r="AX147" s="29">
        <v>0.48</v>
      </c>
      <c r="AY147" s="30">
        <f>SUM(AS147:AX147)</f>
        <v>2.2600000000000002</v>
      </c>
      <c r="AZ147" s="29" t="s">
        <v>555</v>
      </c>
      <c r="BA147" s="470"/>
      <c r="BB147" s="419">
        <f>(450/3*5)+11.12</f>
        <v>761.12</v>
      </c>
      <c r="BC147" s="419">
        <f>2795.59/4</f>
        <v>698.89750000000004</v>
      </c>
      <c r="BD147" s="419">
        <f>(BB147-(AY147*5))*(1-1%)</f>
        <v>742.32180000000005</v>
      </c>
      <c r="BE147" s="30">
        <f>BD147</f>
        <v>742.32180000000005</v>
      </c>
      <c r="BF147" s="1117">
        <f>BD147</f>
        <v>742.32180000000005</v>
      </c>
      <c r="BG147" s="572"/>
      <c r="BH147" s="289"/>
      <c r="BI147" s="586"/>
    </row>
    <row r="148" spans="1:61">
      <c r="B148" s="207"/>
      <c r="C148" s="137"/>
      <c r="D148" s="163"/>
      <c r="E148" s="168"/>
      <c r="F148" s="168"/>
      <c r="G148" s="265"/>
      <c r="H148" s="208"/>
      <c r="I148" s="208"/>
      <c r="J148" s="209"/>
      <c r="K148" s="210"/>
      <c r="L148" s="326"/>
      <c r="M148" s="218"/>
      <c r="N148" s="168"/>
      <c r="O148" s="160"/>
      <c r="P148" s="160"/>
      <c r="Q148" s="160"/>
      <c r="R148" s="160"/>
      <c r="S148" s="211"/>
      <c r="T148" s="209"/>
      <c r="U148" s="1013"/>
      <c r="V148" s="209"/>
      <c r="W148" s="209"/>
      <c r="X148" s="1013"/>
      <c r="Y148" s="299"/>
      <c r="Z148" s="274"/>
      <c r="AA148" s="317"/>
      <c r="AB148" s="213"/>
      <c r="AC148" s="208"/>
      <c r="AD148" s="208"/>
      <c r="AE148" s="215"/>
      <c r="AF148" s="1051"/>
      <c r="AG148" s="1045"/>
      <c r="AH148" s="216"/>
      <c r="AI148" s="1002"/>
      <c r="AJ148" s="217"/>
      <c r="AK148" s="585"/>
      <c r="AL148" s="217"/>
      <c r="AM148" s="160"/>
      <c r="AN148" s="910"/>
      <c r="AO148" s="216"/>
      <c r="AP148" s="214"/>
      <c r="AQ148" s="216"/>
      <c r="AR148" s="217"/>
      <c r="AS148" s="328"/>
      <c r="AT148" s="160"/>
      <c r="AU148" s="160"/>
      <c r="AV148" s="160"/>
      <c r="AW148" s="160"/>
      <c r="AX148" s="160"/>
      <c r="AY148" s="329"/>
      <c r="AZ148" s="296"/>
      <c r="BA148" s="213"/>
      <c r="BB148" s="887"/>
      <c r="BC148" s="887"/>
      <c r="BD148" s="886"/>
      <c r="BE148" s="1110"/>
      <c r="BF148" s="1121"/>
      <c r="BG148" s="577"/>
      <c r="BH148" s="289"/>
    </row>
    <row r="149" spans="1:61" s="149" customFormat="1">
      <c r="A149" s="1269"/>
      <c r="B149" s="86" t="s">
        <v>202</v>
      </c>
      <c r="C149" s="143"/>
      <c r="D149" s="164">
        <f>202.45</f>
        <v>202.45</v>
      </c>
      <c r="E149" s="29" t="s">
        <v>91</v>
      </c>
      <c r="F149" s="29" t="s">
        <v>118</v>
      </c>
      <c r="G149" s="263" t="s">
        <v>122</v>
      </c>
      <c r="H149" s="8" t="s">
        <v>11</v>
      </c>
      <c r="I149" s="32" t="s">
        <v>203</v>
      </c>
      <c r="J149" s="8" t="s">
        <v>90</v>
      </c>
      <c r="K149" s="7" t="s">
        <v>112</v>
      </c>
      <c r="L149" s="333">
        <v>18.95</v>
      </c>
      <c r="M149" s="38"/>
      <c r="N149" s="30">
        <f>L149+M149</f>
        <v>18.95</v>
      </c>
      <c r="O149" s="29"/>
      <c r="P149" s="29">
        <f>N149+O149</f>
        <v>18.95</v>
      </c>
      <c r="Q149" s="29"/>
      <c r="R149" s="29"/>
      <c r="S149" s="470"/>
      <c r="T149" s="32">
        <v>20</v>
      </c>
      <c r="U149" s="1052">
        <f>T149/'Grondslag bouw &amp; infra'!$B$50</f>
        <v>7.662835249042145E-2</v>
      </c>
      <c r="V149" s="79">
        <v>13</v>
      </c>
      <c r="W149" s="80">
        <v>6</v>
      </c>
      <c r="X149" s="1052">
        <f>(V149+W149)/'Grondslag bouw &amp; infra'!$B$50</f>
        <v>7.2796934865900387E-2</v>
      </c>
      <c r="Y149" s="298"/>
      <c r="Z149" s="433"/>
      <c r="AA149" s="467"/>
      <c r="AB149" s="470"/>
      <c r="AC149" s="32">
        <v>5</v>
      </c>
      <c r="AD149" s="79">
        <v>7</v>
      </c>
      <c r="AE149" s="80">
        <v>0</v>
      </c>
      <c r="AF149" s="1086">
        <f>(AC149+AD149+AE149)/'Grondslag bouw &amp; infra'!$B$50</f>
        <v>4.5977011494252873E-2</v>
      </c>
      <c r="AG149" s="1041"/>
      <c r="AH149" s="522"/>
      <c r="AI149" s="1001">
        <v>3.6499999999999998E-2</v>
      </c>
      <c r="AJ149" s="471"/>
      <c r="AK149" s="1008"/>
      <c r="AL149" s="471"/>
      <c r="AM149" s="9">
        <f>$AN$6*AN149</f>
        <v>0</v>
      </c>
      <c r="AN149" s="180"/>
      <c r="AO149" s="34"/>
      <c r="AP149" s="31"/>
      <c r="AQ149" s="30">
        <f>(P149*(AF149+AI149)+P149)</f>
        <v>20.512939367816092</v>
      </c>
      <c r="AR149" s="471"/>
      <c r="AS149" s="43"/>
      <c r="AT149" s="29"/>
      <c r="AU149" s="29"/>
      <c r="AV149" s="29">
        <v>0.68</v>
      </c>
      <c r="AW149" s="29">
        <v>1.1000000000000001</v>
      </c>
      <c r="AX149" s="29">
        <v>0.48</v>
      </c>
      <c r="AY149" s="30">
        <f>SUM(AS149:AX149)</f>
        <v>2.2600000000000002</v>
      </c>
      <c r="AZ149" s="29">
        <v>0.32</v>
      </c>
      <c r="BA149" s="470"/>
      <c r="BB149" s="419">
        <f>680+6.21+14.21</f>
        <v>700.42000000000007</v>
      </c>
      <c r="BC149" s="419">
        <f>2609.92/4</f>
        <v>652.48</v>
      </c>
      <c r="BD149" s="419">
        <f>(BB149-(AY149*5))*(1-1%)</f>
        <v>682.22880000000009</v>
      </c>
      <c r="BE149" s="30">
        <f>BD149</f>
        <v>682.22880000000009</v>
      </c>
      <c r="BF149" s="1117">
        <f>BD149</f>
        <v>682.22880000000009</v>
      </c>
      <c r="BG149" s="572"/>
      <c r="BH149" s="289"/>
      <c r="BI149" s="586"/>
    </row>
    <row r="150" spans="1:61">
      <c r="B150" s="86"/>
      <c r="C150" s="28"/>
      <c r="D150" s="164"/>
      <c r="E150" s="29"/>
      <c r="F150" s="29"/>
      <c r="G150" s="263"/>
      <c r="H150" s="143"/>
      <c r="I150" s="32"/>
      <c r="J150" s="8"/>
      <c r="K150" s="7"/>
      <c r="L150" s="324"/>
      <c r="M150" s="38"/>
      <c r="N150" s="30"/>
      <c r="O150" s="29"/>
      <c r="P150" s="29"/>
      <c r="Q150" s="29"/>
      <c r="R150" s="29"/>
      <c r="S150" s="76"/>
      <c r="T150" s="32"/>
      <c r="U150" s="1016"/>
      <c r="V150" s="79"/>
      <c r="W150" s="80"/>
      <c r="X150" s="1016"/>
      <c r="Z150" s="35"/>
      <c r="AA150" s="316"/>
      <c r="AB150" s="45"/>
      <c r="AC150" s="32"/>
      <c r="AD150" s="79"/>
      <c r="AE150" s="80"/>
      <c r="AF150" s="1052"/>
      <c r="AG150" s="1041"/>
      <c r="AH150" s="522"/>
      <c r="AJ150" s="47"/>
      <c r="AL150" s="47"/>
      <c r="AO150" s="34"/>
      <c r="AQ150" s="706"/>
      <c r="AR150" s="47"/>
      <c r="AS150" s="43"/>
      <c r="AT150" s="29"/>
      <c r="AU150" s="29"/>
      <c r="AZ150" s="143"/>
      <c r="BB150" s="419"/>
      <c r="BC150" s="419"/>
      <c r="BD150" s="419"/>
      <c r="BE150" s="30"/>
      <c r="BF150" s="1118"/>
      <c r="BG150" s="579"/>
      <c r="BH150" s="289"/>
    </row>
    <row r="151" spans="1:61">
      <c r="B151" s="207"/>
      <c r="C151" s="137"/>
      <c r="D151" s="163"/>
      <c r="E151" s="168"/>
      <c r="F151" s="168"/>
      <c r="G151" s="265"/>
      <c r="H151" s="208"/>
      <c r="I151" s="208"/>
      <c r="J151" s="209"/>
      <c r="K151" s="210"/>
      <c r="L151" s="326"/>
      <c r="M151" s="218"/>
      <c r="N151" s="168"/>
      <c r="O151" s="160"/>
      <c r="P151" s="160"/>
      <c r="Q151" s="160"/>
      <c r="R151" s="160"/>
      <c r="S151" s="211"/>
      <c r="T151" s="209"/>
      <c r="U151" s="1013"/>
      <c r="V151" s="209"/>
      <c r="W151" s="209"/>
      <c r="X151" s="1013"/>
      <c r="Y151" s="299"/>
      <c r="Z151" s="274"/>
      <c r="AA151" s="317"/>
      <c r="AB151" s="213"/>
      <c r="AC151" s="208"/>
      <c r="AD151" s="208"/>
      <c r="AE151" s="215"/>
      <c r="AF151" s="1051"/>
      <c r="AG151" s="1045"/>
      <c r="AH151" s="216"/>
      <c r="AI151" s="1002"/>
      <c r="AJ151" s="217"/>
      <c r="AK151" s="585"/>
      <c r="AL151" s="217"/>
      <c r="AM151" s="160"/>
      <c r="AN151" s="910"/>
      <c r="AO151" s="216"/>
      <c r="AP151" s="214"/>
      <c r="AQ151" s="216"/>
      <c r="AR151" s="217"/>
      <c r="AS151" s="328"/>
      <c r="AT151" s="160"/>
      <c r="AU151" s="160"/>
      <c r="AV151" s="160"/>
      <c r="AW151" s="160"/>
      <c r="AX151" s="160"/>
      <c r="AY151" s="329"/>
      <c r="AZ151" s="296"/>
      <c r="BA151" s="213"/>
      <c r="BB151" s="887"/>
      <c r="BC151" s="887"/>
      <c r="BD151" s="886"/>
      <c r="BE151" s="1110"/>
      <c r="BF151" s="1121"/>
      <c r="BG151" s="577"/>
      <c r="BH151" s="289"/>
    </row>
    <row r="152" spans="1:61" s="149" customFormat="1">
      <c r="A152" s="1269"/>
      <c r="B152" s="86"/>
      <c r="C152" s="143"/>
      <c r="D152" s="164"/>
      <c r="E152" s="29"/>
      <c r="F152" s="29"/>
      <c r="G152" s="263"/>
      <c r="H152" s="8"/>
      <c r="I152" s="32"/>
      <c r="J152" s="8"/>
      <c r="K152" s="7"/>
      <c r="L152" s="333"/>
      <c r="M152" s="38"/>
      <c r="N152" s="30"/>
      <c r="O152" s="29"/>
      <c r="P152" s="29"/>
      <c r="Q152" s="29"/>
      <c r="R152" s="29"/>
      <c r="S152" s="470"/>
      <c r="T152" s="32"/>
      <c r="U152" s="1016"/>
      <c r="V152" s="79"/>
      <c r="W152" s="80"/>
      <c r="X152" s="1016"/>
      <c r="Y152" s="298"/>
      <c r="Z152" s="433"/>
      <c r="AA152" s="467"/>
      <c r="AB152" s="470"/>
      <c r="AC152" s="32"/>
      <c r="AD152" s="79"/>
      <c r="AE152" s="80"/>
      <c r="AF152" s="1052"/>
      <c r="AG152" s="1041"/>
      <c r="AH152" s="522"/>
      <c r="AI152" s="1001"/>
      <c r="AJ152" s="471"/>
      <c r="AK152" s="584"/>
      <c r="AL152" s="471"/>
      <c r="AM152" s="9"/>
      <c r="AN152" s="180"/>
      <c r="AO152" s="34"/>
      <c r="AP152" s="31"/>
      <c r="AQ152" s="30"/>
      <c r="AR152" s="471"/>
      <c r="AS152" s="43"/>
      <c r="AT152" s="29"/>
      <c r="AU152" s="29"/>
      <c r="AV152" s="29"/>
      <c r="AW152" s="29"/>
      <c r="AX152" s="29"/>
      <c r="AY152" s="30"/>
      <c r="AZ152" s="29"/>
      <c r="BA152" s="470"/>
      <c r="BB152" s="419"/>
      <c r="BC152" s="419"/>
      <c r="BD152" s="419"/>
      <c r="BE152" s="41"/>
      <c r="BF152" s="1117"/>
      <c r="BG152" s="569"/>
      <c r="BH152" s="289"/>
      <c r="BI152" s="586"/>
    </row>
    <row r="153" spans="1:61">
      <c r="B153" s="86"/>
      <c r="C153" s="28"/>
      <c r="D153" s="164"/>
      <c r="E153" s="29"/>
      <c r="F153" s="29"/>
      <c r="G153" s="263"/>
      <c r="H153" s="143"/>
      <c r="I153" s="32"/>
      <c r="J153" s="8"/>
      <c r="K153" s="7"/>
      <c r="L153" s="324"/>
      <c r="M153" s="38"/>
      <c r="N153" s="30"/>
      <c r="O153" s="29"/>
      <c r="P153" s="29"/>
      <c r="Q153" s="29"/>
      <c r="R153" s="29"/>
      <c r="S153" s="76"/>
      <c r="T153" s="32"/>
      <c r="U153" s="1016"/>
      <c r="V153" s="79"/>
      <c r="W153" s="80"/>
      <c r="X153" s="1016"/>
      <c r="Z153" s="35"/>
      <c r="AA153" s="316"/>
      <c r="AB153" s="45"/>
      <c r="AC153" s="32"/>
      <c r="AD153" s="79"/>
      <c r="AE153" s="80"/>
      <c r="AF153" s="1052"/>
      <c r="AG153" s="1041"/>
      <c r="AH153" s="522"/>
      <c r="AJ153" s="47"/>
      <c r="AL153" s="47"/>
      <c r="AO153" s="34"/>
      <c r="AQ153" s="706"/>
      <c r="AR153" s="47"/>
      <c r="AS153" s="43"/>
      <c r="AT153" s="29"/>
      <c r="AU153" s="29"/>
      <c r="AZ153" s="143"/>
      <c r="BB153" s="419"/>
      <c r="BC153" s="419"/>
      <c r="BD153" s="419"/>
      <c r="BE153" s="30"/>
      <c r="BF153" s="1118"/>
      <c r="BG153" s="572"/>
      <c r="BH153" s="289"/>
    </row>
    <row r="154" spans="1:61">
      <c r="B154" s="207"/>
      <c r="C154" s="137"/>
      <c r="D154" s="163"/>
      <c r="E154" s="168"/>
      <c r="F154" s="168"/>
      <c r="G154" s="265"/>
      <c r="H154" s="208"/>
      <c r="I154" s="208"/>
      <c r="J154" s="209"/>
      <c r="K154" s="210"/>
      <c r="L154" s="326"/>
      <c r="M154" s="218"/>
      <c r="N154" s="168"/>
      <c r="O154" s="160"/>
      <c r="P154" s="160"/>
      <c r="Q154" s="160"/>
      <c r="R154" s="160"/>
      <c r="S154" s="211"/>
      <c r="T154" s="209"/>
      <c r="U154" s="1013"/>
      <c r="V154" s="209"/>
      <c r="W154" s="209"/>
      <c r="X154" s="1013"/>
      <c r="Y154" s="299"/>
      <c r="Z154" s="274"/>
      <c r="AA154" s="317"/>
      <c r="AB154" s="213"/>
      <c r="AC154" s="208"/>
      <c r="AD154" s="208"/>
      <c r="AE154" s="215"/>
      <c r="AF154" s="1051"/>
      <c r="AG154" s="1045"/>
      <c r="AH154" s="216"/>
      <c r="AI154" s="1002"/>
      <c r="AJ154" s="217"/>
      <c r="AK154" s="585"/>
      <c r="AL154" s="217"/>
      <c r="AM154" s="160"/>
      <c r="AN154" s="910"/>
      <c r="AO154" s="216"/>
      <c r="AP154" s="214"/>
      <c r="AQ154" s="216"/>
      <c r="AR154" s="217"/>
      <c r="AS154" s="328"/>
      <c r="AT154" s="160"/>
      <c r="AU154" s="160"/>
      <c r="AV154" s="160"/>
      <c r="AW154" s="160"/>
      <c r="AX154" s="160"/>
      <c r="AY154" s="329"/>
      <c r="AZ154" s="296"/>
      <c r="BA154" s="213"/>
      <c r="BB154" s="887"/>
      <c r="BC154" s="887"/>
      <c r="BD154" s="886"/>
      <c r="BE154" s="1110"/>
      <c r="BF154" s="1121"/>
      <c r="BG154" s="573"/>
      <c r="BH154" s="289"/>
    </row>
    <row r="155" spans="1:61" s="149" customFormat="1">
      <c r="A155" s="1269"/>
      <c r="B155" s="86"/>
      <c r="C155" s="143"/>
      <c r="D155" s="164"/>
      <c r="E155" s="29"/>
      <c r="F155" s="29"/>
      <c r="G155" s="263"/>
      <c r="H155" s="8"/>
      <c r="I155" s="32"/>
      <c r="J155" s="8"/>
      <c r="K155" s="7"/>
      <c r="L155" s="333"/>
      <c r="M155" s="38"/>
      <c r="N155" s="30"/>
      <c r="O155" s="29"/>
      <c r="P155" s="29"/>
      <c r="Q155" s="29"/>
      <c r="R155" s="29"/>
      <c r="S155" s="470"/>
      <c r="T155" s="32"/>
      <c r="U155" s="1016"/>
      <c r="V155" s="79"/>
      <c r="W155" s="80"/>
      <c r="X155" s="1016"/>
      <c r="Y155" s="298"/>
      <c r="Z155" s="433"/>
      <c r="AA155" s="467"/>
      <c r="AB155" s="470"/>
      <c r="AC155" s="32"/>
      <c r="AD155" s="79"/>
      <c r="AE155" s="80"/>
      <c r="AF155" s="1052"/>
      <c r="AG155" s="1041"/>
      <c r="AH155" s="522"/>
      <c r="AI155" s="1001"/>
      <c r="AJ155" s="471"/>
      <c r="AK155" s="584"/>
      <c r="AL155" s="471"/>
      <c r="AM155" s="9"/>
      <c r="AN155" s="180"/>
      <c r="AO155" s="34"/>
      <c r="AP155" s="31"/>
      <c r="AQ155" s="30"/>
      <c r="AR155" s="471"/>
      <c r="AS155" s="43"/>
      <c r="AT155" s="29"/>
      <c r="AU155" s="29"/>
      <c r="AV155" s="29"/>
      <c r="AW155" s="29"/>
      <c r="AX155" s="29"/>
      <c r="AY155" s="30"/>
      <c r="AZ155" s="29"/>
      <c r="BA155" s="470"/>
      <c r="BB155" s="419"/>
      <c r="BC155" s="419"/>
      <c r="BD155" s="419"/>
      <c r="BE155" s="30"/>
      <c r="BF155" s="1118"/>
      <c r="BG155" s="572"/>
      <c r="BH155" s="289"/>
      <c r="BI155" s="586"/>
    </row>
    <row r="156" spans="1:61" s="149" customFormat="1">
      <c r="A156" s="289"/>
      <c r="B156" s="86"/>
      <c r="C156" s="143"/>
      <c r="D156" s="164"/>
      <c r="E156" s="29"/>
      <c r="F156" s="29"/>
      <c r="G156" s="263"/>
      <c r="H156" s="8"/>
      <c r="I156" s="32"/>
      <c r="J156" s="8"/>
      <c r="K156" s="7"/>
      <c r="L156" s="333"/>
      <c r="M156" s="38"/>
      <c r="N156" s="30"/>
      <c r="O156" s="29"/>
      <c r="P156" s="29"/>
      <c r="Q156" s="29"/>
      <c r="R156" s="29"/>
      <c r="S156" s="470"/>
      <c r="T156" s="32"/>
      <c r="U156" s="1016"/>
      <c r="V156" s="79"/>
      <c r="W156" s="80"/>
      <c r="X156" s="1016"/>
      <c r="Y156" s="298"/>
      <c r="Z156" s="433"/>
      <c r="AA156" s="467"/>
      <c r="AB156" s="470"/>
      <c r="AC156" s="32"/>
      <c r="AD156" s="79"/>
      <c r="AE156" s="80"/>
      <c r="AF156" s="1052"/>
      <c r="AG156" s="1041"/>
      <c r="AH156" s="522"/>
      <c r="AI156" s="1001"/>
      <c r="AJ156" s="471"/>
      <c r="AK156" s="584"/>
      <c r="AL156" s="471"/>
      <c r="AM156" s="9"/>
      <c r="AN156" s="180"/>
      <c r="AO156" s="34"/>
      <c r="AP156" s="31"/>
      <c r="AQ156" s="30"/>
      <c r="AR156" s="471"/>
      <c r="AS156" s="43"/>
      <c r="AT156" s="29"/>
      <c r="AU156" s="29"/>
      <c r="AV156" s="29"/>
      <c r="AW156" s="29"/>
      <c r="AX156" s="29"/>
      <c r="AY156" s="30"/>
      <c r="AZ156" s="29"/>
      <c r="BA156" s="470"/>
      <c r="BB156" s="419"/>
      <c r="BC156" s="419"/>
      <c r="BD156" s="419"/>
      <c r="BE156" s="30"/>
      <c r="BF156" s="1118"/>
      <c r="BG156" s="572"/>
      <c r="BH156" s="289"/>
      <c r="BI156" s="586"/>
    </row>
    <row r="157" spans="1:61">
      <c r="B157" s="207"/>
      <c r="C157" s="137"/>
      <c r="D157" s="163"/>
      <c r="E157" s="168"/>
      <c r="F157" s="168"/>
      <c r="G157" s="265"/>
      <c r="H157" s="208"/>
      <c r="I157" s="208"/>
      <c r="J157" s="209"/>
      <c r="K157" s="210"/>
      <c r="L157" s="326"/>
      <c r="M157" s="218"/>
      <c r="N157" s="168"/>
      <c r="O157" s="160"/>
      <c r="P157" s="160"/>
      <c r="Q157" s="160"/>
      <c r="R157" s="160"/>
      <c r="S157" s="211"/>
      <c r="T157" s="209"/>
      <c r="U157" s="1013"/>
      <c r="V157" s="209"/>
      <c r="W157" s="209"/>
      <c r="X157" s="1013"/>
      <c r="Y157" s="299"/>
      <c r="Z157" s="274"/>
      <c r="AA157" s="317"/>
      <c r="AB157" s="213"/>
      <c r="AC157" s="208"/>
      <c r="AD157" s="208"/>
      <c r="AE157" s="215"/>
      <c r="AF157" s="1051"/>
      <c r="AG157" s="1045"/>
      <c r="AH157" s="216"/>
      <c r="AI157" s="1002"/>
      <c r="AJ157" s="217"/>
      <c r="AK157" s="585"/>
      <c r="AL157" s="217"/>
      <c r="AM157" s="160"/>
      <c r="AN157" s="910"/>
      <c r="AO157" s="216"/>
      <c r="AP157" s="214"/>
      <c r="AQ157" s="216"/>
      <c r="AR157" s="217"/>
      <c r="AS157" s="328"/>
      <c r="AT157" s="160"/>
      <c r="AU157" s="160"/>
      <c r="AV157" s="160"/>
      <c r="AW157" s="160"/>
      <c r="AX157" s="160"/>
      <c r="AY157" s="329"/>
      <c r="AZ157" s="296"/>
      <c r="BA157" s="213"/>
      <c r="BB157" s="887"/>
      <c r="BC157" s="887"/>
      <c r="BD157" s="886"/>
      <c r="BE157" s="1110"/>
      <c r="BF157" s="1121"/>
      <c r="BG157" s="577"/>
      <c r="BH157" s="289"/>
    </row>
    <row r="158" spans="1:61">
      <c r="A158" s="1269"/>
      <c r="B158" s="86"/>
      <c r="C158" s="28"/>
      <c r="D158" s="164"/>
      <c r="E158" s="29"/>
      <c r="F158" s="29"/>
      <c r="G158" s="263"/>
      <c r="H158" s="8"/>
      <c r="I158" s="8"/>
      <c r="J158" s="8"/>
      <c r="K158" s="7"/>
      <c r="L158" s="324"/>
      <c r="M158" s="38"/>
      <c r="N158" s="29"/>
      <c r="O158" s="9"/>
      <c r="P158" s="9"/>
      <c r="Q158" s="9"/>
      <c r="R158" s="9"/>
      <c r="S158" s="76"/>
      <c r="T158" s="8"/>
      <c r="U158" s="1011"/>
      <c r="V158" s="8"/>
      <c r="W158" s="8"/>
      <c r="X158" s="1011"/>
      <c r="Z158" s="143"/>
      <c r="AA158" s="316"/>
      <c r="AB158" s="45"/>
      <c r="AC158" s="8"/>
      <c r="AD158" s="8"/>
      <c r="AE158" s="25"/>
      <c r="AF158" s="1050"/>
      <c r="AG158" s="1039"/>
      <c r="AZ158" s="143"/>
    </row>
    <row r="159" spans="1:61">
      <c r="B159" s="86"/>
      <c r="C159" s="28"/>
      <c r="D159" s="164"/>
      <c r="E159" s="29"/>
      <c r="F159" s="29"/>
      <c r="G159" s="263"/>
      <c r="H159" s="8"/>
      <c r="I159" s="8"/>
      <c r="J159" s="8"/>
      <c r="K159" s="7"/>
      <c r="L159" s="324"/>
      <c r="M159" s="38"/>
      <c r="N159" s="29"/>
      <c r="O159" s="9"/>
      <c r="P159" s="9"/>
      <c r="Q159" s="9"/>
      <c r="R159" s="9"/>
      <c r="S159" s="76"/>
      <c r="T159" s="8"/>
      <c r="U159" s="1011"/>
      <c r="V159" s="8"/>
      <c r="W159" s="8"/>
      <c r="X159" s="1011"/>
      <c r="Z159" s="143"/>
      <c r="AA159" s="316"/>
      <c r="AB159" s="45"/>
      <c r="AC159" s="8"/>
      <c r="AD159" s="8"/>
      <c r="AE159" s="25"/>
      <c r="AF159" s="1050"/>
      <c r="AG159" s="1039"/>
      <c r="AZ159" s="143"/>
    </row>
    <row r="160" spans="1:61">
      <c r="B160" s="86"/>
      <c r="C160" s="28"/>
      <c r="D160" s="164"/>
      <c r="E160" s="29"/>
      <c r="F160" s="29"/>
      <c r="G160" s="263"/>
      <c r="H160" s="8"/>
      <c r="I160" s="8"/>
      <c r="J160" s="8"/>
      <c r="K160" s="7"/>
      <c r="L160" s="324"/>
      <c r="M160" s="38"/>
      <c r="N160" s="29"/>
      <c r="O160" s="9"/>
      <c r="P160" s="9"/>
      <c r="Q160" s="9"/>
      <c r="R160" s="9"/>
      <c r="S160" s="76"/>
      <c r="T160" s="8"/>
      <c r="U160" s="1011"/>
      <c r="V160" s="8"/>
      <c r="W160" s="8"/>
      <c r="X160" s="1011"/>
      <c r="Z160" s="143"/>
      <c r="AA160" s="316"/>
      <c r="AB160" s="45"/>
      <c r="AC160" s="8"/>
      <c r="AD160" s="8"/>
      <c r="AE160" s="25"/>
      <c r="AF160" s="1050"/>
      <c r="AG160" s="1039"/>
      <c r="AZ160" s="143"/>
    </row>
    <row r="161" spans="2:52">
      <c r="B161" s="86"/>
      <c r="C161" s="28"/>
      <c r="D161" s="164"/>
      <c r="E161" s="29"/>
      <c r="F161" s="29"/>
      <c r="G161" s="263"/>
      <c r="H161" s="8"/>
      <c r="I161" s="8"/>
      <c r="J161" s="8"/>
      <c r="K161" s="7"/>
      <c r="L161" s="324"/>
      <c r="M161" s="38"/>
      <c r="N161" s="29"/>
      <c r="O161" s="9"/>
      <c r="P161" s="9"/>
      <c r="Q161" s="9"/>
      <c r="R161" s="9"/>
      <c r="S161" s="76"/>
      <c r="T161" s="8"/>
      <c r="U161" s="1011"/>
      <c r="V161" s="8"/>
      <c r="W161" s="8"/>
      <c r="X161" s="1011"/>
      <c r="Z161" s="143"/>
      <c r="AA161" s="316"/>
      <c r="AB161" s="45"/>
      <c r="AC161" s="8"/>
      <c r="AD161" s="8"/>
      <c r="AE161" s="25"/>
      <c r="AF161" s="1050"/>
      <c r="AG161" s="1039"/>
      <c r="AZ161" s="143"/>
    </row>
    <row r="162" spans="2:52">
      <c r="B162" s="86"/>
      <c r="C162" s="28"/>
      <c r="D162" s="164"/>
      <c r="E162" s="29"/>
      <c r="F162" s="29"/>
      <c r="G162" s="263"/>
      <c r="H162" s="8"/>
      <c r="I162" s="8"/>
      <c r="J162" s="8"/>
      <c r="K162" s="7"/>
      <c r="L162" s="324"/>
      <c r="M162" s="38"/>
      <c r="N162" s="29"/>
      <c r="O162" s="9"/>
      <c r="P162" s="9"/>
      <c r="Q162" s="9"/>
      <c r="R162" s="9"/>
      <c r="S162" s="76"/>
      <c r="T162" s="8"/>
      <c r="U162" s="1011"/>
      <c r="V162" s="8"/>
      <c r="W162" s="8"/>
      <c r="X162" s="1011"/>
      <c r="Z162" s="143"/>
      <c r="AA162" s="316"/>
      <c r="AB162" s="45"/>
      <c r="AC162" s="8"/>
      <c r="AD162" s="8"/>
      <c r="AE162" s="25"/>
      <c r="AF162" s="1050"/>
      <c r="AG162" s="1039"/>
      <c r="AZ162" s="143"/>
    </row>
    <row r="163" spans="2:52">
      <c r="B163" s="86"/>
      <c r="C163" s="28"/>
      <c r="D163" s="164"/>
      <c r="E163" s="29"/>
      <c r="F163" s="29"/>
      <c r="G163" s="263"/>
      <c r="H163" s="8"/>
      <c r="I163" s="8"/>
      <c r="J163" s="8"/>
      <c r="K163" s="7"/>
      <c r="L163" s="324"/>
      <c r="M163" s="38"/>
      <c r="N163" s="29"/>
      <c r="O163" s="9"/>
      <c r="P163" s="9"/>
      <c r="Q163" s="9"/>
      <c r="R163" s="9"/>
      <c r="S163" s="76"/>
      <c r="T163" s="8"/>
      <c r="U163" s="1011"/>
      <c r="V163" s="8"/>
      <c r="W163" s="8"/>
      <c r="X163" s="1011"/>
      <c r="Z163" s="143"/>
      <c r="AA163" s="316"/>
      <c r="AB163" s="45"/>
      <c r="AC163" s="8"/>
      <c r="AD163" s="8"/>
      <c r="AE163" s="25"/>
      <c r="AF163" s="1050"/>
      <c r="AG163" s="1039"/>
      <c r="AZ163" s="143"/>
    </row>
    <row r="164" spans="2:52">
      <c r="B164" s="86"/>
      <c r="C164" s="28"/>
      <c r="D164" s="164"/>
      <c r="E164" s="29"/>
      <c r="F164" s="29"/>
      <c r="G164" s="263"/>
      <c r="H164" s="8"/>
      <c r="I164" s="8"/>
      <c r="J164" s="8"/>
      <c r="K164" s="7"/>
      <c r="L164" s="324"/>
      <c r="M164" s="38"/>
      <c r="N164" s="29"/>
      <c r="O164" s="9"/>
      <c r="P164" s="9"/>
      <c r="Q164" s="9"/>
      <c r="R164" s="9"/>
      <c r="S164" s="76"/>
      <c r="T164" s="8"/>
      <c r="U164" s="1011"/>
      <c r="V164" s="8"/>
      <c r="W164" s="8"/>
      <c r="X164" s="1011"/>
      <c r="Z164" s="143"/>
      <c r="AA164" s="316"/>
      <c r="AB164" s="45"/>
      <c r="AC164" s="8"/>
      <c r="AD164" s="8"/>
      <c r="AE164" s="25"/>
      <c r="AF164" s="1050"/>
      <c r="AG164" s="1039"/>
      <c r="AZ164" s="143"/>
    </row>
    <row r="165" spans="2:52">
      <c r="B165" s="86"/>
      <c r="C165" s="28"/>
      <c r="D165" s="164"/>
      <c r="E165" s="29"/>
      <c r="F165" s="29"/>
      <c r="G165" s="263"/>
      <c r="H165" s="8"/>
      <c r="I165" s="8"/>
      <c r="J165" s="8"/>
      <c r="K165" s="7"/>
      <c r="L165" s="324"/>
      <c r="M165" s="38"/>
      <c r="N165" s="29"/>
      <c r="O165" s="9"/>
      <c r="P165" s="9"/>
      <c r="Q165" s="9"/>
      <c r="R165" s="9"/>
      <c r="S165" s="76"/>
      <c r="T165" s="8"/>
      <c r="U165" s="1011"/>
      <c r="V165" s="8"/>
      <c r="W165" s="8"/>
      <c r="X165" s="1011"/>
      <c r="Z165" s="143"/>
      <c r="AA165" s="316"/>
      <c r="AB165" s="45"/>
      <c r="AC165" s="8"/>
      <c r="AD165" s="8"/>
      <c r="AE165" s="25"/>
      <c r="AF165" s="1050"/>
      <c r="AG165" s="1039"/>
      <c r="AZ165" s="143"/>
    </row>
    <row r="166" spans="2:52">
      <c r="B166" s="86"/>
      <c r="C166" s="28"/>
      <c r="D166" s="164"/>
      <c r="E166" s="29"/>
      <c r="F166" s="29"/>
      <c r="G166" s="263"/>
      <c r="H166" s="8"/>
      <c r="I166" s="8"/>
      <c r="J166" s="8"/>
      <c r="K166" s="7"/>
      <c r="L166" s="324"/>
      <c r="M166" s="38"/>
      <c r="N166" s="29"/>
      <c r="O166" s="9"/>
      <c r="P166" s="9"/>
      <c r="Q166" s="9"/>
      <c r="R166" s="9"/>
      <c r="S166" s="76"/>
      <c r="T166" s="8"/>
      <c r="U166" s="1011"/>
      <c r="V166" s="8"/>
      <c r="W166" s="8"/>
      <c r="X166" s="1011"/>
      <c r="Z166" s="143"/>
      <c r="AA166" s="316"/>
      <c r="AB166" s="45"/>
      <c r="AC166" s="8"/>
      <c r="AD166" s="8"/>
      <c r="AE166" s="25"/>
      <c r="AF166" s="1050"/>
      <c r="AG166" s="1039"/>
      <c r="AZ166" s="143"/>
    </row>
    <row r="167" spans="2:52">
      <c r="B167" s="86"/>
      <c r="C167" s="28"/>
      <c r="D167" s="164"/>
      <c r="E167" s="29"/>
      <c r="F167" s="29"/>
      <c r="G167" s="263"/>
      <c r="H167" s="8"/>
      <c r="I167" s="8"/>
      <c r="J167" s="8"/>
      <c r="K167" s="7"/>
      <c r="L167" s="324"/>
      <c r="M167" s="38"/>
      <c r="N167" s="29"/>
      <c r="O167" s="9"/>
      <c r="P167" s="9"/>
      <c r="Q167" s="9"/>
      <c r="R167" s="9"/>
      <c r="S167" s="76"/>
      <c r="T167" s="8"/>
      <c r="U167" s="1011"/>
      <c r="V167" s="8"/>
      <c r="W167" s="8"/>
      <c r="X167" s="1011"/>
      <c r="Z167" s="143"/>
      <c r="AA167" s="316"/>
      <c r="AB167" s="45"/>
      <c r="AC167" s="8"/>
      <c r="AD167" s="8"/>
      <c r="AE167" s="25"/>
      <c r="AF167" s="1050"/>
      <c r="AG167" s="1039"/>
      <c r="AZ167" s="143"/>
    </row>
    <row r="168" spans="2:52">
      <c r="B168" s="86"/>
      <c r="C168" s="28"/>
      <c r="D168" s="164"/>
      <c r="E168" s="29"/>
      <c r="F168" s="29"/>
      <c r="G168" s="263"/>
      <c r="H168" s="8"/>
      <c r="I168" s="8"/>
      <c r="J168" s="8"/>
      <c r="K168" s="7"/>
      <c r="L168" s="324"/>
      <c r="M168" s="38"/>
      <c r="N168" s="29"/>
      <c r="O168" s="9"/>
      <c r="P168" s="9"/>
      <c r="Q168" s="9"/>
      <c r="R168" s="9"/>
      <c r="S168" s="76"/>
      <c r="T168" s="8"/>
      <c r="U168" s="1011"/>
      <c r="V168" s="8"/>
      <c r="W168" s="8"/>
      <c r="X168" s="1011"/>
      <c r="Z168" s="143"/>
      <c r="AA168" s="316"/>
      <c r="AB168" s="45"/>
      <c r="AC168" s="8"/>
      <c r="AD168" s="8"/>
      <c r="AE168" s="25"/>
      <c r="AF168" s="1050"/>
      <c r="AG168" s="1039"/>
      <c r="AZ168" s="143"/>
    </row>
    <row r="169" spans="2:52">
      <c r="B169" s="86"/>
      <c r="C169" s="28"/>
      <c r="D169" s="164"/>
      <c r="E169" s="29"/>
      <c r="F169" s="29"/>
      <c r="G169" s="263"/>
      <c r="H169" s="8"/>
      <c r="I169" s="8"/>
      <c r="J169" s="8"/>
      <c r="K169" s="7"/>
      <c r="L169" s="324"/>
      <c r="M169" s="38"/>
      <c r="N169" s="29"/>
      <c r="O169" s="9"/>
      <c r="P169" s="9"/>
      <c r="Q169" s="9"/>
      <c r="R169" s="9"/>
      <c r="S169" s="76"/>
      <c r="T169" s="8"/>
      <c r="U169" s="1011"/>
      <c r="V169" s="8"/>
      <c r="W169" s="8"/>
      <c r="X169" s="1011"/>
      <c r="Z169" s="143"/>
      <c r="AA169" s="316"/>
      <c r="AB169" s="45"/>
      <c r="AC169" s="8"/>
      <c r="AD169" s="8"/>
      <c r="AE169" s="25"/>
      <c r="AF169" s="1050"/>
      <c r="AG169" s="1039"/>
      <c r="AZ169" s="143"/>
    </row>
    <row r="170" spans="2:52">
      <c r="B170" s="86"/>
      <c r="C170" s="28"/>
      <c r="D170" s="164"/>
      <c r="E170" s="29"/>
      <c r="F170" s="29"/>
      <c r="G170" s="263"/>
      <c r="H170" s="8"/>
      <c r="I170" s="8"/>
      <c r="J170" s="8"/>
      <c r="K170" s="7"/>
      <c r="L170" s="324"/>
      <c r="M170" s="38"/>
      <c r="N170" s="29"/>
      <c r="O170" s="9"/>
      <c r="P170" s="9"/>
      <c r="Q170" s="9"/>
      <c r="R170" s="9"/>
      <c r="S170" s="76"/>
      <c r="T170" s="8"/>
      <c r="U170" s="1011"/>
      <c r="V170" s="8"/>
      <c r="W170" s="8"/>
      <c r="X170" s="1011"/>
      <c r="Z170" s="143"/>
      <c r="AA170" s="316"/>
      <c r="AB170" s="45"/>
      <c r="AC170" s="8"/>
      <c r="AD170" s="8"/>
      <c r="AE170" s="25"/>
      <c r="AF170" s="1050"/>
      <c r="AG170" s="1039"/>
      <c r="AZ170" s="143"/>
    </row>
    <row r="171" spans="2:52">
      <c r="B171" s="86"/>
      <c r="C171" s="28"/>
      <c r="D171" s="164"/>
      <c r="E171" s="29"/>
      <c r="F171" s="29"/>
      <c r="G171" s="263"/>
      <c r="H171" s="8"/>
      <c r="I171" s="8"/>
      <c r="J171" s="8"/>
      <c r="K171" s="7"/>
      <c r="L171" s="324"/>
      <c r="M171" s="38"/>
      <c r="N171" s="29"/>
      <c r="O171" s="9"/>
      <c r="P171" s="9"/>
      <c r="Q171" s="9"/>
      <c r="R171" s="9"/>
      <c r="S171" s="76"/>
      <c r="T171" s="8"/>
      <c r="U171" s="1011"/>
      <c r="V171" s="8"/>
      <c r="W171" s="8"/>
      <c r="X171" s="1011"/>
      <c r="Z171" s="143"/>
      <c r="AA171" s="316"/>
      <c r="AB171" s="45"/>
      <c r="AC171" s="8"/>
      <c r="AD171" s="8"/>
      <c r="AE171" s="25"/>
      <c r="AF171" s="1050"/>
      <c r="AG171" s="1039"/>
      <c r="AZ171" s="143"/>
    </row>
    <row r="172" spans="2:52">
      <c r="B172" s="86"/>
      <c r="C172" s="28"/>
      <c r="D172" s="164"/>
      <c r="E172" s="29"/>
      <c r="F172" s="29"/>
      <c r="G172" s="263"/>
      <c r="H172" s="8"/>
      <c r="I172" s="8"/>
      <c r="J172" s="8"/>
      <c r="K172" s="7"/>
      <c r="L172" s="324"/>
      <c r="M172" s="38"/>
      <c r="N172" s="29"/>
      <c r="O172" s="9"/>
      <c r="P172" s="9"/>
      <c r="Q172" s="9"/>
      <c r="R172" s="9"/>
      <c r="S172" s="76"/>
      <c r="T172" s="8"/>
      <c r="U172" s="1011"/>
      <c r="V172" s="8"/>
      <c r="W172" s="8"/>
      <c r="X172" s="1011"/>
      <c r="Z172" s="143"/>
      <c r="AA172" s="316"/>
      <c r="AB172" s="45"/>
      <c r="AC172" s="8"/>
      <c r="AD172" s="8"/>
      <c r="AE172" s="25"/>
      <c r="AF172" s="1050"/>
      <c r="AG172" s="1039"/>
      <c r="AZ172" s="143"/>
    </row>
    <row r="173" spans="2:52">
      <c r="B173" s="86"/>
      <c r="C173" s="28"/>
      <c r="D173" s="164"/>
      <c r="E173" s="29"/>
      <c r="F173" s="29"/>
      <c r="G173" s="263"/>
      <c r="H173" s="8"/>
      <c r="I173" s="8"/>
      <c r="J173" s="8"/>
      <c r="K173" s="7"/>
      <c r="L173" s="324"/>
      <c r="M173" s="38"/>
      <c r="N173" s="29"/>
      <c r="O173" s="9"/>
      <c r="P173" s="9"/>
      <c r="Q173" s="9"/>
      <c r="R173" s="9"/>
      <c r="S173" s="76"/>
      <c r="T173" s="8"/>
      <c r="U173" s="1011"/>
      <c r="V173" s="8"/>
      <c r="W173" s="8"/>
      <c r="X173" s="1011"/>
      <c r="Z173" s="143"/>
      <c r="AA173" s="316"/>
      <c r="AB173" s="45"/>
      <c r="AC173" s="8"/>
      <c r="AD173" s="8"/>
      <c r="AE173" s="25"/>
      <c r="AF173" s="1050"/>
      <c r="AG173" s="1039"/>
      <c r="AZ173" s="143"/>
    </row>
    <row r="174" spans="2:52">
      <c r="B174" s="86"/>
      <c r="C174" s="28"/>
      <c r="D174" s="164"/>
      <c r="E174" s="29"/>
      <c r="F174" s="29"/>
      <c r="G174" s="263"/>
      <c r="H174" s="8"/>
      <c r="I174" s="8"/>
      <c r="J174" s="8"/>
      <c r="K174" s="7"/>
      <c r="L174" s="324"/>
      <c r="M174" s="38"/>
      <c r="N174" s="29"/>
      <c r="O174" s="9"/>
      <c r="P174" s="9"/>
      <c r="Q174" s="9"/>
      <c r="R174" s="9"/>
      <c r="S174" s="76"/>
      <c r="T174" s="8"/>
      <c r="U174" s="1011"/>
      <c r="V174" s="8"/>
      <c r="W174" s="8"/>
      <c r="X174" s="1011"/>
      <c r="Z174" s="143"/>
      <c r="AA174" s="316"/>
      <c r="AB174" s="45"/>
      <c r="AC174" s="8"/>
      <c r="AD174" s="8"/>
      <c r="AE174" s="25"/>
      <c r="AF174" s="1050"/>
      <c r="AG174" s="1039"/>
      <c r="AZ174" s="143"/>
    </row>
    <row r="175" spans="2:52">
      <c r="B175" s="86"/>
      <c r="C175" s="28"/>
      <c r="D175" s="164"/>
      <c r="E175" s="29"/>
      <c r="F175" s="29"/>
      <c r="G175" s="263"/>
      <c r="H175" s="8"/>
      <c r="I175" s="8"/>
      <c r="J175" s="8"/>
      <c r="K175" s="7"/>
      <c r="L175" s="324"/>
      <c r="M175" s="38"/>
      <c r="N175" s="29"/>
      <c r="O175" s="9"/>
      <c r="P175" s="9"/>
      <c r="Q175" s="9"/>
      <c r="R175" s="9"/>
      <c r="S175" s="76"/>
      <c r="T175" s="8"/>
      <c r="U175" s="1011"/>
      <c r="V175" s="8"/>
      <c r="W175" s="8"/>
      <c r="X175" s="1011"/>
      <c r="Z175" s="143"/>
      <c r="AA175" s="316"/>
      <c r="AB175" s="45"/>
      <c r="AC175" s="8"/>
      <c r="AD175" s="8"/>
      <c r="AE175" s="25"/>
      <c r="AF175" s="1050"/>
      <c r="AG175" s="1039"/>
      <c r="AZ175" s="143"/>
    </row>
    <row r="176" spans="2:52">
      <c r="B176" s="86"/>
      <c r="C176" s="28"/>
      <c r="D176" s="164"/>
      <c r="E176" s="29"/>
      <c r="F176" s="29"/>
      <c r="G176" s="263"/>
      <c r="H176" s="8"/>
      <c r="I176" s="8"/>
      <c r="J176" s="8"/>
      <c r="K176" s="7"/>
      <c r="L176" s="324"/>
      <c r="M176" s="38"/>
      <c r="N176" s="29"/>
      <c r="O176" s="9"/>
      <c r="P176" s="9"/>
      <c r="Q176" s="9"/>
      <c r="R176" s="9"/>
      <c r="S176" s="76"/>
      <c r="T176" s="8"/>
      <c r="U176" s="1011"/>
      <c r="V176" s="8"/>
      <c r="W176" s="8"/>
      <c r="X176" s="1011"/>
      <c r="Z176" s="143"/>
      <c r="AA176" s="316"/>
      <c r="AB176" s="45"/>
      <c r="AC176" s="8"/>
      <c r="AD176" s="8"/>
      <c r="AE176" s="25"/>
      <c r="AF176" s="1050"/>
      <c r="AG176" s="1039"/>
      <c r="AZ176" s="143"/>
    </row>
    <row r="177" spans="2:52">
      <c r="B177" s="86"/>
      <c r="C177" s="28"/>
      <c r="D177" s="164"/>
      <c r="E177" s="29"/>
      <c r="F177" s="29"/>
      <c r="G177" s="263"/>
      <c r="H177" s="8"/>
      <c r="I177" s="8"/>
      <c r="J177" s="8"/>
      <c r="K177" s="7"/>
      <c r="L177" s="324"/>
      <c r="M177" s="38"/>
      <c r="N177" s="29"/>
      <c r="O177" s="9"/>
      <c r="P177" s="9"/>
      <c r="Q177" s="9"/>
      <c r="R177" s="9"/>
      <c r="S177" s="76"/>
      <c r="T177" s="8"/>
      <c r="U177" s="1011"/>
      <c r="V177" s="8"/>
      <c r="W177" s="8"/>
      <c r="X177" s="1011"/>
      <c r="Z177" s="143"/>
      <c r="AA177" s="316"/>
      <c r="AB177" s="45"/>
      <c r="AC177" s="8"/>
      <c r="AD177" s="8"/>
      <c r="AE177" s="25"/>
      <c r="AF177" s="1050"/>
      <c r="AG177" s="1039"/>
      <c r="AZ177" s="143"/>
    </row>
    <row r="178" spans="2:52">
      <c r="B178" s="86"/>
      <c r="C178" s="28"/>
      <c r="D178" s="164"/>
      <c r="E178" s="29"/>
      <c r="F178" s="29"/>
      <c r="G178" s="263"/>
      <c r="H178" s="8"/>
      <c r="I178" s="8"/>
      <c r="J178" s="8"/>
      <c r="K178" s="7"/>
      <c r="L178" s="324"/>
      <c r="M178" s="38"/>
      <c r="N178" s="29"/>
      <c r="O178" s="9"/>
      <c r="P178" s="9"/>
      <c r="Q178" s="9"/>
      <c r="R178" s="9"/>
      <c r="S178" s="76"/>
      <c r="T178" s="8"/>
      <c r="U178" s="1011"/>
      <c r="V178" s="8"/>
      <c r="W178" s="8"/>
      <c r="X178" s="1011"/>
      <c r="Z178" s="143"/>
      <c r="AA178" s="316"/>
      <c r="AB178" s="45"/>
      <c r="AC178" s="8"/>
      <c r="AD178" s="8"/>
      <c r="AE178" s="25"/>
      <c r="AF178" s="1050"/>
      <c r="AG178" s="1039"/>
      <c r="AZ178" s="143"/>
    </row>
    <row r="179" spans="2:52">
      <c r="B179" s="86"/>
      <c r="C179" s="28"/>
      <c r="D179" s="164"/>
      <c r="E179" s="29"/>
      <c r="F179" s="29"/>
      <c r="G179" s="263"/>
      <c r="H179" s="8"/>
      <c r="I179" s="8"/>
      <c r="J179" s="8"/>
      <c r="K179" s="7"/>
      <c r="L179" s="324"/>
      <c r="M179" s="38"/>
      <c r="N179" s="29"/>
      <c r="O179" s="9"/>
      <c r="P179" s="9"/>
      <c r="Q179" s="9"/>
      <c r="R179" s="9"/>
      <c r="S179" s="76"/>
      <c r="T179" s="8"/>
      <c r="U179" s="1011"/>
      <c r="V179" s="8"/>
      <c r="W179" s="8"/>
      <c r="X179" s="1011"/>
      <c r="Z179" s="143"/>
      <c r="AA179" s="316"/>
      <c r="AB179" s="45"/>
      <c r="AC179" s="8"/>
      <c r="AD179" s="8"/>
      <c r="AE179" s="25"/>
      <c r="AF179" s="1050"/>
      <c r="AG179" s="1039"/>
      <c r="AZ179" s="143"/>
    </row>
    <row r="180" spans="2:52">
      <c r="B180" s="86"/>
      <c r="C180" s="28"/>
      <c r="D180" s="164"/>
      <c r="E180" s="29"/>
      <c r="F180" s="29"/>
      <c r="G180" s="263"/>
      <c r="H180" s="8"/>
      <c r="I180" s="8"/>
      <c r="J180" s="8"/>
      <c r="K180" s="7"/>
      <c r="L180" s="324"/>
      <c r="M180" s="38"/>
      <c r="N180" s="29"/>
      <c r="O180" s="9"/>
      <c r="P180" s="9"/>
      <c r="Q180" s="9"/>
      <c r="R180" s="9"/>
      <c r="S180" s="76"/>
      <c r="T180" s="8"/>
      <c r="U180" s="1011"/>
      <c r="V180" s="8"/>
      <c r="W180" s="8"/>
      <c r="X180" s="1011"/>
      <c r="Z180" s="143"/>
      <c r="AA180" s="316"/>
      <c r="AB180" s="45"/>
      <c r="AC180" s="8"/>
      <c r="AD180" s="8"/>
      <c r="AE180" s="25"/>
      <c r="AF180" s="1050"/>
      <c r="AG180" s="1039"/>
      <c r="AZ180" s="143"/>
    </row>
    <row r="181" spans="2:52">
      <c r="B181" s="86"/>
      <c r="C181" s="28"/>
      <c r="D181" s="164"/>
      <c r="E181" s="29"/>
      <c r="F181" s="29"/>
      <c r="G181" s="263"/>
      <c r="H181" s="8"/>
      <c r="I181" s="8"/>
      <c r="J181" s="8"/>
      <c r="K181" s="7"/>
      <c r="L181" s="324"/>
      <c r="M181" s="38"/>
      <c r="N181" s="29"/>
      <c r="O181" s="9"/>
      <c r="P181" s="9"/>
      <c r="Q181" s="9"/>
      <c r="R181" s="9"/>
      <c r="S181" s="76"/>
      <c r="T181" s="8"/>
      <c r="U181" s="1011"/>
      <c r="V181" s="8"/>
      <c r="W181" s="8"/>
      <c r="X181" s="1011"/>
      <c r="Z181" s="143"/>
      <c r="AA181" s="316"/>
      <c r="AB181" s="45"/>
      <c r="AC181" s="8"/>
      <c r="AD181" s="8"/>
      <c r="AE181" s="25"/>
      <c r="AF181" s="1050"/>
      <c r="AG181" s="1039"/>
      <c r="AZ181" s="143"/>
    </row>
    <row r="182" spans="2:52">
      <c r="B182" s="86"/>
      <c r="C182" s="28"/>
      <c r="D182" s="164"/>
      <c r="E182" s="29"/>
      <c r="F182" s="29"/>
      <c r="G182" s="263"/>
      <c r="H182" s="8"/>
      <c r="I182" s="8"/>
      <c r="J182" s="8"/>
      <c r="K182" s="7"/>
      <c r="L182" s="324"/>
      <c r="M182" s="38"/>
      <c r="N182" s="29"/>
      <c r="O182" s="9"/>
      <c r="P182" s="9"/>
      <c r="Q182" s="9"/>
      <c r="R182" s="9"/>
      <c r="S182" s="76"/>
      <c r="T182" s="8"/>
      <c r="U182" s="1011"/>
      <c r="V182" s="8"/>
      <c r="W182" s="8"/>
      <c r="X182" s="1011"/>
      <c r="Z182" s="143"/>
      <c r="AA182" s="316"/>
      <c r="AB182" s="45"/>
      <c r="AC182" s="8"/>
      <c r="AD182" s="8"/>
      <c r="AE182" s="25"/>
      <c r="AF182" s="1050"/>
      <c r="AG182" s="1039"/>
      <c r="AZ182" s="143"/>
    </row>
    <row r="183" spans="2:52">
      <c r="B183" s="86"/>
      <c r="C183" s="28"/>
      <c r="D183" s="164"/>
      <c r="E183" s="29"/>
      <c r="F183" s="29"/>
      <c r="G183" s="263"/>
      <c r="H183" s="8"/>
      <c r="I183" s="8"/>
      <c r="J183" s="8"/>
      <c r="K183" s="7"/>
      <c r="L183" s="324"/>
      <c r="M183" s="38"/>
      <c r="N183" s="29"/>
      <c r="O183" s="9"/>
      <c r="P183" s="9"/>
      <c r="Q183" s="9"/>
      <c r="R183" s="9"/>
      <c r="S183" s="76"/>
      <c r="T183" s="8"/>
      <c r="U183" s="1011"/>
      <c r="V183" s="8"/>
      <c r="W183" s="8"/>
      <c r="X183" s="1011"/>
      <c r="Z183" s="143"/>
      <c r="AA183" s="316"/>
      <c r="AB183" s="45"/>
      <c r="AC183" s="8"/>
      <c r="AD183" s="8"/>
      <c r="AE183" s="25"/>
      <c r="AF183" s="1050"/>
      <c r="AG183" s="1039"/>
      <c r="AZ183" s="143"/>
    </row>
    <row r="184" spans="2:52">
      <c r="B184" s="86"/>
      <c r="C184" s="28"/>
      <c r="D184" s="164"/>
      <c r="E184" s="29"/>
      <c r="F184" s="29"/>
      <c r="G184" s="263"/>
      <c r="H184" s="8"/>
      <c r="I184" s="8"/>
      <c r="J184" s="8"/>
      <c r="K184" s="7"/>
      <c r="L184" s="324"/>
      <c r="M184" s="38"/>
      <c r="N184" s="29"/>
      <c r="O184" s="9"/>
      <c r="P184" s="9"/>
      <c r="Q184" s="9"/>
      <c r="R184" s="9"/>
      <c r="S184" s="76"/>
      <c r="T184" s="8"/>
      <c r="U184" s="1011"/>
      <c r="V184" s="8"/>
      <c r="W184" s="8"/>
      <c r="X184" s="1011"/>
      <c r="Z184" s="143"/>
      <c r="AA184" s="316"/>
      <c r="AB184" s="45"/>
      <c r="AC184" s="8"/>
      <c r="AD184" s="8"/>
      <c r="AE184" s="25"/>
      <c r="AF184" s="1050"/>
      <c r="AG184" s="1039"/>
      <c r="AZ184" s="143"/>
    </row>
    <row r="185" spans="2:52">
      <c r="B185" s="86"/>
      <c r="C185" s="28"/>
      <c r="D185" s="164"/>
      <c r="E185" s="29"/>
      <c r="F185" s="29"/>
      <c r="G185" s="263"/>
      <c r="H185" s="8"/>
      <c r="I185" s="8"/>
      <c r="J185" s="8"/>
      <c r="K185" s="7"/>
      <c r="L185" s="324"/>
      <c r="M185" s="38"/>
      <c r="N185" s="29"/>
      <c r="O185" s="9"/>
      <c r="P185" s="9"/>
      <c r="Q185" s="9"/>
      <c r="R185" s="9"/>
      <c r="S185" s="76"/>
      <c r="T185" s="8"/>
      <c r="U185" s="1011"/>
      <c r="V185" s="8"/>
      <c r="W185" s="8"/>
      <c r="X185" s="1011"/>
      <c r="Z185" s="143"/>
      <c r="AA185" s="316"/>
      <c r="AB185" s="45"/>
      <c r="AC185" s="8"/>
      <c r="AD185" s="8"/>
      <c r="AE185" s="25"/>
      <c r="AF185" s="1050"/>
      <c r="AG185" s="1039"/>
      <c r="AZ185" s="143"/>
    </row>
    <row r="186" spans="2:52">
      <c r="B186" s="86"/>
      <c r="C186" s="28"/>
      <c r="D186" s="164"/>
      <c r="E186" s="29"/>
      <c r="F186" s="29"/>
      <c r="G186" s="263"/>
      <c r="H186" s="8"/>
      <c r="I186" s="8"/>
      <c r="J186" s="8"/>
      <c r="K186" s="7"/>
      <c r="L186" s="324"/>
      <c r="M186" s="38"/>
      <c r="N186" s="29"/>
      <c r="O186" s="9"/>
      <c r="P186" s="9"/>
      <c r="Q186" s="9"/>
      <c r="R186" s="9"/>
      <c r="S186" s="76"/>
      <c r="T186" s="8"/>
      <c r="U186" s="1011"/>
      <c r="V186" s="8"/>
      <c r="W186" s="8"/>
      <c r="X186" s="1011"/>
      <c r="Z186" s="143"/>
      <c r="AA186" s="316"/>
      <c r="AB186" s="45"/>
      <c r="AC186" s="8"/>
      <c r="AD186" s="8"/>
      <c r="AE186" s="25"/>
      <c r="AF186" s="1050"/>
      <c r="AG186" s="1039"/>
      <c r="AZ186" s="143"/>
    </row>
    <row r="187" spans="2:52">
      <c r="B187" s="86"/>
      <c r="C187" s="28"/>
      <c r="D187" s="164"/>
      <c r="E187" s="29"/>
      <c r="F187" s="29"/>
      <c r="G187" s="263"/>
      <c r="H187" s="8"/>
      <c r="I187" s="8"/>
      <c r="J187" s="8"/>
      <c r="K187" s="7"/>
      <c r="L187" s="324"/>
      <c r="M187" s="38"/>
      <c r="N187" s="29"/>
      <c r="O187" s="9"/>
      <c r="P187" s="9"/>
      <c r="Q187" s="9"/>
      <c r="R187" s="9"/>
      <c r="S187" s="76"/>
      <c r="T187" s="8"/>
      <c r="U187" s="1011"/>
      <c r="V187" s="8"/>
      <c r="W187" s="8"/>
      <c r="X187" s="1011"/>
      <c r="Z187" s="143"/>
      <c r="AA187" s="316"/>
      <c r="AB187" s="45"/>
      <c r="AC187" s="8"/>
      <c r="AD187" s="8"/>
      <c r="AE187" s="25"/>
      <c r="AF187" s="1050"/>
      <c r="AG187" s="1039"/>
      <c r="AZ187" s="143"/>
    </row>
    <row r="188" spans="2:52">
      <c r="B188" s="86"/>
      <c r="C188" s="28"/>
      <c r="D188" s="164"/>
      <c r="E188" s="29"/>
      <c r="F188" s="29"/>
      <c r="G188" s="263"/>
      <c r="H188" s="8"/>
      <c r="I188" s="8"/>
      <c r="J188" s="8"/>
      <c r="K188" s="7"/>
      <c r="L188" s="324"/>
      <c r="M188" s="38"/>
      <c r="N188" s="29"/>
      <c r="O188" s="9"/>
      <c r="P188" s="9"/>
      <c r="Q188" s="9"/>
      <c r="R188" s="9"/>
      <c r="S188" s="76"/>
      <c r="T188" s="8"/>
      <c r="U188" s="1011"/>
      <c r="V188" s="8"/>
      <c r="W188" s="8"/>
      <c r="X188" s="1011"/>
      <c r="Z188" s="143"/>
      <c r="AA188" s="316"/>
      <c r="AB188" s="45"/>
      <c r="AC188" s="8"/>
      <c r="AD188" s="8"/>
      <c r="AE188" s="25"/>
      <c r="AF188" s="1050"/>
      <c r="AG188" s="1039"/>
      <c r="AZ188" s="143"/>
    </row>
    <row r="189" spans="2:52">
      <c r="B189" s="86"/>
      <c r="C189" s="28"/>
      <c r="D189" s="164"/>
      <c r="E189" s="29"/>
      <c r="F189" s="29"/>
      <c r="G189" s="263"/>
      <c r="H189" s="8"/>
      <c r="I189" s="8"/>
      <c r="J189" s="8"/>
      <c r="K189" s="7"/>
      <c r="L189" s="324"/>
      <c r="M189" s="38"/>
      <c r="N189" s="29"/>
      <c r="O189" s="9"/>
      <c r="P189" s="9"/>
      <c r="Q189" s="9"/>
      <c r="R189" s="9"/>
      <c r="S189" s="76"/>
      <c r="T189" s="8"/>
      <c r="U189" s="1011"/>
      <c r="V189" s="8"/>
      <c r="W189" s="8"/>
      <c r="X189" s="1011"/>
      <c r="Z189" s="143"/>
      <c r="AA189" s="316"/>
      <c r="AB189" s="45"/>
      <c r="AC189" s="8"/>
      <c r="AD189" s="8"/>
      <c r="AE189" s="25"/>
      <c r="AF189" s="1050"/>
      <c r="AG189" s="1039"/>
      <c r="AZ189" s="143"/>
    </row>
    <row r="190" spans="2:52">
      <c r="B190" s="86"/>
      <c r="C190" s="28"/>
      <c r="D190" s="164"/>
      <c r="E190" s="29"/>
      <c r="F190" s="29"/>
      <c r="G190" s="263"/>
      <c r="H190" s="8"/>
      <c r="I190" s="8"/>
      <c r="J190" s="8"/>
      <c r="K190" s="7"/>
      <c r="L190" s="324"/>
      <c r="M190" s="38"/>
      <c r="N190" s="29"/>
      <c r="O190" s="9"/>
      <c r="P190" s="9"/>
      <c r="Q190" s="9"/>
      <c r="R190" s="9"/>
      <c r="S190" s="76"/>
      <c r="T190" s="8"/>
      <c r="U190" s="1011"/>
      <c r="V190" s="8"/>
      <c r="W190" s="8"/>
      <c r="X190" s="1011"/>
      <c r="Z190" s="143"/>
      <c r="AA190" s="316"/>
      <c r="AB190" s="45"/>
      <c r="AC190" s="8"/>
      <c r="AD190" s="8"/>
      <c r="AE190" s="25"/>
      <c r="AF190" s="1050"/>
      <c r="AG190" s="1039"/>
      <c r="AZ190" s="143"/>
    </row>
    <row r="191" spans="2:52">
      <c r="B191" s="86"/>
      <c r="C191" s="28"/>
      <c r="D191" s="164"/>
      <c r="E191" s="29"/>
      <c r="F191" s="29"/>
      <c r="G191" s="263"/>
      <c r="H191" s="8"/>
      <c r="I191" s="8"/>
      <c r="J191" s="8"/>
      <c r="K191" s="7"/>
      <c r="L191" s="324"/>
      <c r="M191" s="38"/>
      <c r="N191" s="29"/>
      <c r="O191" s="9"/>
      <c r="P191" s="9"/>
      <c r="Q191" s="9"/>
      <c r="R191" s="9"/>
      <c r="S191" s="76"/>
      <c r="T191" s="8"/>
      <c r="U191" s="1011"/>
      <c r="V191" s="8"/>
      <c r="W191" s="8"/>
      <c r="X191" s="1011"/>
      <c r="Z191" s="143"/>
      <c r="AA191" s="316"/>
      <c r="AB191" s="45"/>
      <c r="AC191" s="8"/>
      <c r="AD191" s="8"/>
      <c r="AE191" s="25"/>
      <c r="AF191" s="1050"/>
      <c r="AG191" s="1039"/>
      <c r="AZ191" s="143"/>
    </row>
    <row r="192" spans="2:52">
      <c r="B192" s="86"/>
      <c r="C192" s="28"/>
      <c r="D192" s="164"/>
      <c r="E192" s="29"/>
      <c r="F192" s="29"/>
      <c r="G192" s="263"/>
      <c r="H192" s="8"/>
      <c r="I192" s="8"/>
      <c r="J192" s="8"/>
      <c r="K192" s="7"/>
      <c r="L192" s="324"/>
      <c r="M192" s="38"/>
      <c r="N192" s="29"/>
      <c r="O192" s="9"/>
      <c r="P192" s="9"/>
      <c r="Q192" s="9"/>
      <c r="R192" s="9"/>
      <c r="S192" s="76"/>
      <c r="T192" s="8"/>
      <c r="U192" s="1011"/>
      <c r="V192" s="8"/>
      <c r="W192" s="8"/>
      <c r="X192" s="1011"/>
      <c r="Z192" s="143"/>
      <c r="AA192" s="316"/>
      <c r="AB192" s="45"/>
      <c r="AC192" s="8"/>
      <c r="AD192" s="8"/>
      <c r="AE192" s="25"/>
      <c r="AF192" s="1050"/>
      <c r="AG192" s="1039"/>
      <c r="AZ192" s="143"/>
    </row>
    <row r="193" spans="2:52">
      <c r="B193" s="86"/>
      <c r="C193" s="28"/>
      <c r="D193" s="164"/>
      <c r="E193" s="29"/>
      <c r="F193" s="29"/>
      <c r="G193" s="263"/>
      <c r="H193" s="8"/>
      <c r="I193" s="8"/>
      <c r="J193" s="8"/>
      <c r="K193" s="7"/>
      <c r="L193" s="324"/>
      <c r="M193" s="38"/>
      <c r="N193" s="29"/>
      <c r="O193" s="9"/>
      <c r="P193" s="9"/>
      <c r="Q193" s="9"/>
      <c r="R193" s="9"/>
      <c r="S193" s="76"/>
      <c r="T193" s="8"/>
      <c r="U193" s="1011"/>
      <c r="V193" s="8"/>
      <c r="W193" s="8"/>
      <c r="X193" s="1011"/>
      <c r="Z193" s="143"/>
      <c r="AA193" s="316"/>
      <c r="AB193" s="45"/>
      <c r="AC193" s="8"/>
      <c r="AD193" s="8"/>
      <c r="AE193" s="25"/>
      <c r="AF193" s="1050"/>
      <c r="AG193" s="1039"/>
      <c r="AZ193" s="143"/>
    </row>
    <row r="194" spans="2:52">
      <c r="B194" s="86"/>
      <c r="C194" s="28"/>
      <c r="D194" s="164"/>
      <c r="E194" s="29"/>
      <c r="F194" s="29"/>
      <c r="G194" s="263"/>
      <c r="H194" s="8"/>
      <c r="I194" s="8"/>
      <c r="J194" s="8"/>
      <c r="K194" s="7"/>
      <c r="L194" s="324"/>
      <c r="M194" s="38"/>
      <c r="N194" s="29"/>
      <c r="O194" s="9"/>
      <c r="P194" s="9"/>
      <c r="Q194" s="9"/>
      <c r="R194" s="9"/>
      <c r="S194" s="76"/>
      <c r="T194" s="8"/>
      <c r="U194" s="1011"/>
      <c r="V194" s="8"/>
      <c r="W194" s="8"/>
      <c r="X194" s="1011"/>
      <c r="Z194" s="143"/>
      <c r="AA194" s="316"/>
      <c r="AB194" s="45"/>
      <c r="AC194" s="8"/>
      <c r="AD194" s="8"/>
      <c r="AE194" s="25"/>
      <c r="AF194" s="1050"/>
      <c r="AG194" s="1039"/>
      <c r="AZ194" s="143"/>
    </row>
    <row r="195" spans="2:52">
      <c r="B195" s="86"/>
      <c r="C195" s="28"/>
      <c r="D195" s="164"/>
      <c r="E195" s="29"/>
      <c r="F195" s="29"/>
      <c r="G195" s="263"/>
      <c r="H195" s="8"/>
      <c r="I195" s="8"/>
      <c r="J195" s="8"/>
      <c r="K195" s="7"/>
      <c r="L195" s="324"/>
      <c r="M195" s="38"/>
      <c r="N195" s="29"/>
      <c r="O195" s="9"/>
      <c r="P195" s="9"/>
      <c r="Q195" s="9"/>
      <c r="R195" s="9"/>
      <c r="S195" s="76"/>
      <c r="T195" s="8"/>
      <c r="U195" s="1011"/>
      <c r="V195" s="8"/>
      <c r="W195" s="8"/>
      <c r="X195" s="1011"/>
      <c r="Z195" s="143"/>
      <c r="AA195" s="316"/>
      <c r="AB195" s="45"/>
      <c r="AC195" s="8"/>
      <c r="AD195" s="8"/>
      <c r="AE195" s="25"/>
      <c r="AF195" s="1050"/>
      <c r="AG195" s="1039"/>
      <c r="AZ195" s="143"/>
    </row>
    <row r="196" spans="2:52">
      <c r="B196" s="86"/>
      <c r="C196" s="28"/>
      <c r="D196" s="164"/>
      <c r="E196" s="29"/>
      <c r="F196" s="29"/>
      <c r="G196" s="263"/>
      <c r="H196" s="8"/>
      <c r="I196" s="8"/>
      <c r="J196" s="8"/>
      <c r="K196" s="7"/>
      <c r="L196" s="324"/>
      <c r="M196" s="38"/>
      <c r="N196" s="29"/>
      <c r="O196" s="9"/>
      <c r="P196" s="9"/>
      <c r="Q196" s="9"/>
      <c r="R196" s="9"/>
      <c r="S196" s="76"/>
      <c r="T196" s="8"/>
      <c r="U196" s="1011"/>
      <c r="V196" s="8"/>
      <c r="W196" s="8"/>
      <c r="X196" s="1011"/>
      <c r="Z196" s="143"/>
      <c r="AA196" s="316"/>
      <c r="AB196" s="45"/>
      <c r="AC196" s="8"/>
      <c r="AD196" s="8"/>
      <c r="AE196" s="25"/>
      <c r="AF196" s="1050"/>
      <c r="AG196" s="1039"/>
      <c r="AZ196" s="143"/>
    </row>
    <row r="197" spans="2:52">
      <c r="B197" s="86"/>
      <c r="C197" s="28"/>
      <c r="D197" s="164"/>
      <c r="E197" s="29"/>
      <c r="F197" s="29"/>
      <c r="G197" s="263"/>
      <c r="H197" s="8"/>
      <c r="I197" s="8"/>
      <c r="J197" s="8"/>
      <c r="K197" s="7"/>
      <c r="L197" s="324"/>
      <c r="M197" s="38"/>
      <c r="N197" s="29"/>
      <c r="O197" s="9"/>
      <c r="P197" s="9"/>
      <c r="Q197" s="9"/>
      <c r="R197" s="9"/>
      <c r="S197" s="76"/>
      <c r="T197" s="8"/>
      <c r="U197" s="1011"/>
      <c r="V197" s="8"/>
      <c r="W197" s="8"/>
      <c r="X197" s="1011"/>
      <c r="Z197" s="143"/>
      <c r="AA197" s="316"/>
      <c r="AB197" s="45"/>
      <c r="AC197" s="8"/>
      <c r="AD197" s="8"/>
      <c r="AE197" s="25"/>
      <c r="AF197" s="1050"/>
      <c r="AG197" s="1039"/>
      <c r="AZ197" s="143"/>
    </row>
    <row r="198" spans="2:52">
      <c r="B198" s="86"/>
      <c r="C198" s="28"/>
      <c r="D198" s="164"/>
      <c r="E198" s="29"/>
      <c r="F198" s="29"/>
      <c r="G198" s="263"/>
      <c r="H198" s="8"/>
      <c r="I198" s="8"/>
      <c r="J198" s="8"/>
      <c r="K198" s="7"/>
      <c r="L198" s="324"/>
      <c r="M198" s="38"/>
      <c r="N198" s="29"/>
      <c r="O198" s="9"/>
      <c r="P198" s="9"/>
      <c r="Q198" s="9"/>
      <c r="R198" s="9"/>
      <c r="S198" s="76"/>
      <c r="T198" s="8"/>
      <c r="U198" s="1011"/>
      <c r="V198" s="8"/>
      <c r="W198" s="8"/>
      <c r="X198" s="1011"/>
      <c r="Z198" s="143"/>
      <c r="AA198" s="316"/>
      <c r="AB198" s="45"/>
      <c r="AC198" s="8"/>
      <c r="AD198" s="8"/>
      <c r="AE198" s="25"/>
      <c r="AF198" s="1050"/>
      <c r="AG198" s="1039"/>
      <c r="AZ198" s="143"/>
    </row>
    <row r="199" spans="2:52">
      <c r="B199" s="86"/>
      <c r="C199" s="28"/>
      <c r="D199" s="164"/>
      <c r="E199" s="29"/>
      <c r="F199" s="29"/>
      <c r="G199" s="263"/>
      <c r="H199" s="8"/>
      <c r="I199" s="8"/>
      <c r="J199" s="8"/>
      <c r="K199" s="7"/>
      <c r="L199" s="324"/>
      <c r="M199" s="38"/>
      <c r="N199" s="29"/>
      <c r="O199" s="9"/>
      <c r="P199" s="9"/>
      <c r="Q199" s="9"/>
      <c r="R199" s="9"/>
      <c r="S199" s="76"/>
      <c r="T199" s="8"/>
      <c r="U199" s="1011"/>
      <c r="V199" s="8"/>
      <c r="W199" s="8"/>
      <c r="X199" s="1011"/>
      <c r="Z199" s="143"/>
      <c r="AA199" s="316"/>
      <c r="AB199" s="45"/>
      <c r="AC199" s="8"/>
      <c r="AD199" s="8"/>
      <c r="AE199" s="25"/>
      <c r="AF199" s="1050"/>
      <c r="AG199" s="1039"/>
      <c r="AZ199" s="143"/>
    </row>
    <row r="200" spans="2:52">
      <c r="B200" s="86"/>
      <c r="C200" s="28"/>
      <c r="D200" s="164"/>
      <c r="E200" s="29"/>
      <c r="F200" s="29"/>
      <c r="G200" s="263"/>
      <c r="H200" s="8"/>
      <c r="I200" s="8"/>
      <c r="J200" s="8"/>
      <c r="K200" s="7"/>
      <c r="L200" s="324"/>
      <c r="M200" s="38"/>
      <c r="N200" s="29"/>
      <c r="O200" s="9"/>
      <c r="P200" s="9"/>
      <c r="Q200" s="9"/>
      <c r="R200" s="9"/>
      <c r="S200" s="76"/>
      <c r="T200" s="8"/>
      <c r="U200" s="1011"/>
      <c r="V200" s="8"/>
      <c r="W200" s="8"/>
      <c r="X200" s="1011"/>
      <c r="Z200" s="143"/>
      <c r="AA200" s="316"/>
      <c r="AB200" s="45"/>
      <c r="AC200" s="8"/>
      <c r="AD200" s="8"/>
      <c r="AE200" s="25"/>
      <c r="AF200" s="1050"/>
      <c r="AG200" s="1039"/>
      <c r="AZ200" s="143"/>
    </row>
    <row r="201" spans="2:52">
      <c r="B201" s="86"/>
      <c r="C201" s="28"/>
      <c r="D201" s="164"/>
      <c r="E201" s="29"/>
      <c r="F201" s="29"/>
      <c r="G201" s="263"/>
      <c r="H201" s="8"/>
      <c r="I201" s="8"/>
      <c r="J201" s="8"/>
      <c r="K201" s="7"/>
      <c r="L201" s="324"/>
      <c r="M201" s="38"/>
      <c r="N201" s="29"/>
      <c r="O201" s="9"/>
      <c r="P201" s="9"/>
      <c r="Q201" s="9"/>
      <c r="R201" s="9"/>
      <c r="S201" s="76"/>
      <c r="T201" s="8"/>
      <c r="U201" s="1011"/>
      <c r="V201" s="8"/>
      <c r="W201" s="8"/>
      <c r="X201" s="1011"/>
      <c r="Z201" s="143"/>
      <c r="AA201" s="316"/>
      <c r="AB201" s="45"/>
      <c r="AC201" s="8"/>
      <c r="AD201" s="8"/>
      <c r="AE201" s="25"/>
      <c r="AF201" s="1050"/>
      <c r="AG201" s="1039"/>
      <c r="AZ201" s="143"/>
    </row>
    <row r="202" spans="2:52">
      <c r="B202" s="86"/>
      <c r="C202" s="28"/>
      <c r="D202" s="164"/>
      <c r="E202" s="29"/>
      <c r="F202" s="29"/>
      <c r="G202" s="263"/>
      <c r="H202" s="8"/>
      <c r="I202" s="8"/>
      <c r="J202" s="8"/>
      <c r="K202" s="7"/>
      <c r="L202" s="324"/>
      <c r="M202" s="38"/>
      <c r="N202" s="29"/>
      <c r="O202" s="9"/>
      <c r="P202" s="9"/>
      <c r="Q202" s="9"/>
      <c r="R202" s="9"/>
      <c r="S202" s="76"/>
      <c r="T202" s="8"/>
      <c r="U202" s="1011"/>
      <c r="V202" s="8"/>
      <c r="W202" s="8"/>
      <c r="X202" s="1011"/>
      <c r="Z202" s="143"/>
      <c r="AA202" s="316"/>
      <c r="AB202" s="45"/>
      <c r="AC202" s="8"/>
      <c r="AD202" s="8"/>
      <c r="AE202" s="25"/>
      <c r="AF202" s="1050"/>
      <c r="AG202" s="1039"/>
      <c r="AZ202" s="143"/>
    </row>
    <row r="203" spans="2:52">
      <c r="B203" s="86"/>
      <c r="C203" s="28"/>
      <c r="D203" s="164"/>
      <c r="E203" s="29"/>
      <c r="F203" s="29"/>
      <c r="G203" s="263"/>
      <c r="H203" s="8"/>
      <c r="I203" s="8"/>
      <c r="J203" s="8"/>
      <c r="K203" s="7"/>
      <c r="L203" s="324"/>
      <c r="M203" s="38"/>
      <c r="N203" s="29"/>
      <c r="O203" s="9"/>
      <c r="P203" s="9"/>
      <c r="Q203" s="9"/>
      <c r="R203" s="9"/>
      <c r="S203" s="76"/>
      <c r="T203" s="8"/>
      <c r="U203" s="1011"/>
      <c r="V203" s="8"/>
      <c r="W203" s="8"/>
      <c r="X203" s="1011"/>
      <c r="Z203" s="143"/>
      <c r="AA203" s="316"/>
      <c r="AB203" s="45"/>
      <c r="AC203" s="8"/>
      <c r="AD203" s="8"/>
      <c r="AE203" s="25"/>
      <c r="AF203" s="1050"/>
      <c r="AG203" s="1039"/>
      <c r="AZ203" s="143"/>
    </row>
    <row r="204" spans="2:52">
      <c r="B204" s="86"/>
      <c r="C204" s="28"/>
      <c r="D204" s="164"/>
      <c r="E204" s="29"/>
      <c r="F204" s="29"/>
      <c r="G204" s="263"/>
      <c r="H204" s="8"/>
      <c r="I204" s="8"/>
      <c r="J204" s="8"/>
      <c r="K204" s="7"/>
      <c r="L204" s="324"/>
      <c r="M204" s="38"/>
      <c r="N204" s="29"/>
      <c r="O204" s="9"/>
      <c r="P204" s="9"/>
      <c r="Q204" s="9"/>
      <c r="R204" s="9"/>
      <c r="S204" s="76"/>
      <c r="T204" s="8"/>
      <c r="U204" s="1011"/>
      <c r="V204" s="8"/>
      <c r="W204" s="8"/>
      <c r="X204" s="1011"/>
      <c r="Z204" s="143"/>
      <c r="AA204" s="316"/>
      <c r="AB204" s="45"/>
      <c r="AC204" s="8"/>
      <c r="AD204" s="8"/>
      <c r="AE204" s="25"/>
      <c r="AF204" s="1050"/>
      <c r="AG204" s="1039"/>
      <c r="AZ204" s="143"/>
    </row>
    <row r="205" spans="2:52">
      <c r="B205" s="86"/>
      <c r="C205" s="28"/>
      <c r="D205" s="164"/>
      <c r="E205" s="29"/>
      <c r="F205" s="29"/>
      <c r="G205" s="263"/>
      <c r="H205" s="8"/>
      <c r="I205" s="8"/>
      <c r="J205" s="8"/>
      <c r="K205" s="7"/>
      <c r="L205" s="324"/>
      <c r="M205" s="38"/>
      <c r="N205" s="29"/>
      <c r="O205" s="9"/>
      <c r="P205" s="9"/>
      <c r="Q205" s="9"/>
      <c r="R205" s="9"/>
      <c r="S205" s="76"/>
      <c r="T205" s="8"/>
      <c r="U205" s="1011"/>
      <c r="V205" s="8"/>
      <c r="W205" s="8"/>
      <c r="X205" s="1011"/>
      <c r="Z205" s="143"/>
      <c r="AA205" s="316"/>
      <c r="AB205" s="45"/>
      <c r="AC205" s="8"/>
      <c r="AD205" s="8"/>
      <c r="AE205" s="25"/>
      <c r="AF205" s="1050"/>
      <c r="AG205" s="1039"/>
      <c r="AZ205" s="143"/>
    </row>
    <row r="206" spans="2:52">
      <c r="B206" s="86"/>
      <c r="C206" s="28"/>
      <c r="D206" s="164"/>
      <c r="E206" s="29"/>
      <c r="F206" s="29"/>
      <c r="G206" s="263"/>
      <c r="H206" s="8"/>
      <c r="I206" s="8"/>
      <c r="J206" s="8"/>
      <c r="K206" s="7"/>
      <c r="L206" s="324"/>
      <c r="M206" s="38"/>
      <c r="N206" s="29"/>
      <c r="O206" s="9"/>
      <c r="P206" s="9"/>
      <c r="Q206" s="9"/>
      <c r="R206" s="9"/>
      <c r="S206" s="76"/>
      <c r="T206" s="8"/>
      <c r="U206" s="1011"/>
      <c r="V206" s="8"/>
      <c r="W206" s="8"/>
      <c r="X206" s="1011"/>
      <c r="Z206" s="143"/>
      <c r="AA206" s="316"/>
      <c r="AB206" s="45"/>
      <c r="AC206" s="8"/>
      <c r="AD206" s="8"/>
      <c r="AE206" s="25"/>
      <c r="AF206" s="1050"/>
      <c r="AG206" s="1039"/>
      <c r="AZ206" s="143"/>
    </row>
    <row r="207" spans="2:52">
      <c r="B207" s="86"/>
      <c r="C207" s="28"/>
      <c r="D207" s="164"/>
      <c r="E207" s="29"/>
      <c r="F207" s="29"/>
      <c r="G207" s="263"/>
      <c r="H207" s="8"/>
      <c r="I207" s="8"/>
      <c r="J207" s="8"/>
      <c r="K207" s="7"/>
      <c r="L207" s="324"/>
      <c r="M207" s="38"/>
      <c r="N207" s="29"/>
      <c r="O207" s="9"/>
      <c r="P207" s="9"/>
      <c r="Q207" s="9"/>
      <c r="R207" s="9"/>
      <c r="S207" s="76"/>
      <c r="T207" s="8"/>
      <c r="U207" s="1011"/>
      <c r="V207" s="8"/>
      <c r="W207" s="8"/>
      <c r="X207" s="1011"/>
      <c r="Z207" s="143"/>
      <c r="AA207" s="316"/>
      <c r="AB207" s="45"/>
      <c r="AC207" s="8"/>
      <c r="AD207" s="8"/>
      <c r="AE207" s="25"/>
      <c r="AF207" s="1050"/>
      <c r="AG207" s="1039"/>
      <c r="AZ207" s="143"/>
    </row>
    <row r="208" spans="2:52">
      <c r="B208" s="86"/>
      <c r="C208" s="28"/>
      <c r="D208" s="164"/>
      <c r="E208" s="29"/>
      <c r="F208" s="29"/>
      <c r="G208" s="263"/>
      <c r="H208" s="8"/>
      <c r="I208" s="8"/>
      <c r="J208" s="8"/>
      <c r="K208" s="7"/>
      <c r="L208" s="324"/>
      <c r="M208" s="38"/>
      <c r="N208" s="29"/>
      <c r="O208" s="9"/>
      <c r="P208" s="9"/>
      <c r="Q208" s="9"/>
      <c r="R208" s="9"/>
      <c r="S208" s="76"/>
      <c r="T208" s="8"/>
      <c r="U208" s="1011"/>
      <c r="V208" s="8"/>
      <c r="W208" s="8"/>
      <c r="X208" s="1011"/>
      <c r="Z208" s="143"/>
      <c r="AA208" s="316"/>
      <c r="AB208" s="45"/>
      <c r="AC208" s="8"/>
      <c r="AD208" s="8"/>
      <c r="AE208" s="25"/>
      <c r="AF208" s="1050"/>
      <c r="AG208" s="1039"/>
      <c r="AZ208" s="143"/>
    </row>
    <row r="209" spans="2:52">
      <c r="B209" s="86"/>
      <c r="C209" s="28"/>
      <c r="D209" s="164"/>
      <c r="E209" s="29"/>
      <c r="F209" s="29"/>
      <c r="G209" s="263"/>
      <c r="H209" s="8"/>
      <c r="I209" s="8"/>
      <c r="J209" s="8"/>
      <c r="K209" s="7"/>
      <c r="L209" s="324"/>
      <c r="M209" s="38"/>
      <c r="N209" s="29"/>
      <c r="O209" s="9"/>
      <c r="P209" s="9"/>
      <c r="Q209" s="9"/>
      <c r="R209" s="9"/>
      <c r="S209" s="76"/>
      <c r="T209" s="8"/>
      <c r="U209" s="1011"/>
      <c r="V209" s="8"/>
      <c r="W209" s="8"/>
      <c r="X209" s="1011"/>
      <c r="Z209" s="143"/>
      <c r="AA209" s="316"/>
      <c r="AB209" s="45"/>
      <c r="AC209" s="8"/>
      <c r="AD209" s="8"/>
      <c r="AE209" s="25"/>
      <c r="AF209" s="1050"/>
      <c r="AG209" s="1039"/>
      <c r="AZ209" s="143"/>
    </row>
    <row r="210" spans="2:52">
      <c r="B210" s="86"/>
      <c r="C210" s="28"/>
      <c r="D210" s="164"/>
      <c r="E210" s="29"/>
      <c r="F210" s="29"/>
      <c r="G210" s="263"/>
      <c r="H210" s="8"/>
      <c r="I210" s="8"/>
      <c r="J210" s="8"/>
      <c r="K210" s="7"/>
      <c r="L210" s="324"/>
      <c r="M210" s="38"/>
      <c r="N210" s="29"/>
      <c r="O210" s="9"/>
      <c r="P210" s="9"/>
      <c r="Q210" s="9"/>
      <c r="R210" s="9"/>
      <c r="S210" s="76"/>
      <c r="T210" s="8"/>
      <c r="U210" s="1011"/>
      <c r="V210" s="8"/>
      <c r="W210" s="8"/>
      <c r="X210" s="1011"/>
      <c r="Z210" s="143"/>
      <c r="AA210" s="316"/>
      <c r="AB210" s="45"/>
      <c r="AC210" s="8"/>
      <c r="AD210" s="8"/>
      <c r="AE210" s="25"/>
      <c r="AF210" s="1050"/>
      <c r="AG210" s="1039"/>
      <c r="AZ210" s="143"/>
    </row>
    <row r="211" spans="2:52">
      <c r="B211" s="86"/>
      <c r="C211" s="28"/>
      <c r="D211" s="164"/>
      <c r="E211" s="29"/>
      <c r="F211" s="29"/>
      <c r="G211" s="263"/>
      <c r="H211" s="8"/>
      <c r="I211" s="8"/>
      <c r="J211" s="8"/>
      <c r="K211" s="7"/>
      <c r="L211" s="324"/>
      <c r="M211" s="38"/>
      <c r="N211" s="29"/>
      <c r="O211" s="9"/>
      <c r="P211" s="9"/>
      <c r="Q211" s="9"/>
      <c r="R211" s="9"/>
      <c r="S211" s="76"/>
      <c r="T211" s="8"/>
      <c r="U211" s="1011"/>
      <c r="V211" s="8"/>
      <c r="W211" s="8"/>
      <c r="X211" s="1011"/>
      <c r="Z211" s="143"/>
      <c r="AA211" s="316"/>
      <c r="AB211" s="45"/>
      <c r="AC211" s="8"/>
      <c r="AD211" s="8"/>
      <c r="AE211" s="25"/>
      <c r="AF211" s="1050"/>
      <c r="AG211" s="1039"/>
      <c r="AZ211" s="143"/>
    </row>
    <row r="212" spans="2:52">
      <c r="B212" s="86"/>
      <c r="C212" s="28"/>
      <c r="D212" s="164"/>
      <c r="E212" s="29"/>
      <c r="F212" s="29"/>
      <c r="G212" s="263"/>
      <c r="H212" s="8"/>
      <c r="I212" s="8"/>
      <c r="J212" s="8"/>
      <c r="K212" s="7"/>
      <c r="L212" s="324"/>
      <c r="M212" s="38"/>
      <c r="N212" s="29"/>
      <c r="O212" s="9"/>
      <c r="P212" s="9"/>
      <c r="Q212" s="9"/>
      <c r="R212" s="9"/>
      <c r="S212" s="76"/>
      <c r="T212" s="8"/>
      <c r="U212" s="1011"/>
      <c r="V212" s="8"/>
      <c r="W212" s="8"/>
      <c r="X212" s="1011"/>
      <c r="Z212" s="143"/>
      <c r="AA212" s="316"/>
      <c r="AB212" s="45"/>
      <c r="AC212" s="8"/>
      <c r="AD212" s="8"/>
      <c r="AE212" s="25"/>
      <c r="AF212" s="1050"/>
      <c r="AG212" s="1039"/>
      <c r="AZ212" s="143"/>
    </row>
    <row r="213" spans="2:52">
      <c r="B213" s="86"/>
      <c r="C213" s="28"/>
      <c r="D213" s="164"/>
      <c r="E213" s="29"/>
      <c r="F213" s="29"/>
      <c r="G213" s="263"/>
      <c r="H213" s="8"/>
      <c r="I213" s="8"/>
      <c r="J213" s="8"/>
      <c r="K213" s="7"/>
      <c r="L213" s="324"/>
      <c r="M213" s="38"/>
      <c r="N213" s="29"/>
      <c r="O213" s="9"/>
      <c r="P213" s="9"/>
      <c r="Q213" s="9"/>
      <c r="R213" s="9"/>
      <c r="S213" s="76"/>
      <c r="T213" s="8"/>
      <c r="U213" s="1011"/>
      <c r="V213" s="8"/>
      <c r="W213" s="8"/>
      <c r="X213" s="1011"/>
      <c r="Z213" s="143"/>
      <c r="AA213" s="316"/>
      <c r="AB213" s="45"/>
      <c r="AC213" s="8"/>
      <c r="AD213" s="8"/>
      <c r="AE213" s="25"/>
      <c r="AF213" s="1050"/>
      <c r="AG213" s="1039"/>
      <c r="AZ213" s="143"/>
    </row>
    <row r="214" spans="2:52">
      <c r="B214" s="86"/>
      <c r="C214" s="28"/>
      <c r="D214" s="164"/>
      <c r="E214" s="29"/>
      <c r="F214" s="29"/>
      <c r="G214" s="263"/>
      <c r="H214" s="8"/>
      <c r="I214" s="8"/>
      <c r="J214" s="8"/>
      <c r="K214" s="7"/>
      <c r="L214" s="324"/>
      <c r="M214" s="38"/>
      <c r="N214" s="29"/>
      <c r="O214" s="9"/>
      <c r="P214" s="9"/>
      <c r="Q214" s="9"/>
      <c r="R214" s="9"/>
      <c r="S214" s="76"/>
      <c r="T214" s="8"/>
      <c r="U214" s="1011"/>
      <c r="V214" s="8"/>
      <c r="W214" s="8"/>
      <c r="X214" s="1011"/>
      <c r="Z214" s="143"/>
      <c r="AA214" s="316"/>
      <c r="AB214" s="45"/>
      <c r="AC214" s="8"/>
      <c r="AD214" s="8"/>
      <c r="AE214" s="25"/>
      <c r="AF214" s="1050"/>
      <c r="AG214" s="1039"/>
      <c r="AZ214" s="143"/>
    </row>
    <row r="215" spans="2:52">
      <c r="B215" s="86"/>
      <c r="C215" s="28"/>
      <c r="D215" s="164"/>
      <c r="E215" s="29"/>
      <c r="F215" s="29"/>
      <c r="G215" s="263"/>
      <c r="H215" s="8"/>
      <c r="I215" s="8"/>
      <c r="J215" s="8"/>
      <c r="K215" s="7"/>
      <c r="L215" s="324"/>
      <c r="M215" s="38"/>
      <c r="N215" s="29"/>
      <c r="O215" s="9"/>
      <c r="P215" s="9"/>
      <c r="Q215" s="9"/>
      <c r="R215" s="9"/>
      <c r="S215" s="76"/>
      <c r="T215" s="8"/>
      <c r="U215" s="1011"/>
      <c r="V215" s="8"/>
      <c r="W215" s="8"/>
      <c r="X215" s="1011"/>
      <c r="Z215" s="143"/>
      <c r="AA215" s="316"/>
      <c r="AB215" s="45"/>
      <c r="AC215" s="8"/>
      <c r="AD215" s="8"/>
      <c r="AE215" s="25"/>
      <c r="AF215" s="1050"/>
      <c r="AG215" s="1039"/>
      <c r="AZ215" s="143"/>
    </row>
    <row r="216" spans="2:52">
      <c r="B216" s="86"/>
      <c r="C216" s="28"/>
      <c r="D216" s="164"/>
      <c r="E216" s="29"/>
      <c r="F216" s="29"/>
      <c r="G216" s="263"/>
      <c r="H216" s="8"/>
      <c r="I216" s="8"/>
      <c r="J216" s="8"/>
      <c r="K216" s="7"/>
      <c r="L216" s="324"/>
      <c r="M216" s="38"/>
      <c r="N216" s="29"/>
      <c r="O216" s="9"/>
      <c r="P216" s="9"/>
      <c r="Q216" s="9"/>
      <c r="R216" s="9"/>
      <c r="S216" s="76"/>
      <c r="T216" s="8"/>
      <c r="U216" s="1011"/>
      <c r="V216" s="8"/>
      <c r="W216" s="8"/>
      <c r="X216" s="1011"/>
      <c r="Z216" s="143"/>
      <c r="AA216" s="316"/>
      <c r="AB216" s="45"/>
      <c r="AC216" s="8"/>
      <c r="AD216" s="8"/>
      <c r="AE216" s="25"/>
      <c r="AF216" s="1050"/>
      <c r="AG216" s="1039"/>
      <c r="AZ216" s="143"/>
    </row>
    <row r="217" spans="2:52">
      <c r="B217" s="86"/>
      <c r="C217" s="28"/>
      <c r="D217" s="164"/>
      <c r="E217" s="29"/>
      <c r="F217" s="29"/>
      <c r="G217" s="263"/>
      <c r="H217" s="8"/>
      <c r="I217" s="8"/>
      <c r="J217" s="8"/>
      <c r="K217" s="7"/>
      <c r="L217" s="324"/>
      <c r="M217" s="38"/>
      <c r="N217" s="29"/>
      <c r="O217" s="9"/>
      <c r="P217" s="9"/>
      <c r="Q217" s="9"/>
      <c r="R217" s="9"/>
      <c r="S217" s="76"/>
      <c r="T217" s="8"/>
      <c r="U217" s="1011"/>
      <c r="V217" s="8"/>
      <c r="W217" s="8"/>
      <c r="X217" s="1011"/>
      <c r="Z217" s="143"/>
      <c r="AA217" s="316"/>
      <c r="AB217" s="45"/>
      <c r="AC217" s="8"/>
      <c r="AD217" s="8"/>
      <c r="AE217" s="25"/>
      <c r="AF217" s="1050"/>
      <c r="AG217" s="1039"/>
      <c r="AZ217" s="143"/>
    </row>
    <row r="218" spans="2:52">
      <c r="B218" s="86"/>
      <c r="C218" s="28"/>
      <c r="D218" s="164"/>
      <c r="E218" s="29"/>
      <c r="F218" s="29"/>
      <c r="G218" s="263"/>
      <c r="H218" s="8"/>
      <c r="I218" s="8"/>
      <c r="J218" s="8"/>
      <c r="K218" s="7"/>
      <c r="L218" s="324"/>
      <c r="M218" s="38"/>
      <c r="N218" s="29"/>
      <c r="O218" s="9"/>
      <c r="P218" s="9"/>
      <c r="Q218" s="9"/>
      <c r="R218" s="9"/>
      <c r="S218" s="76"/>
      <c r="T218" s="8"/>
      <c r="U218" s="1011"/>
      <c r="V218" s="8"/>
      <c r="W218" s="8"/>
      <c r="X218" s="1011"/>
      <c r="Z218" s="143"/>
      <c r="AA218" s="316"/>
      <c r="AB218" s="45"/>
      <c r="AC218" s="8"/>
      <c r="AD218" s="8"/>
      <c r="AE218" s="25"/>
      <c r="AF218" s="1050"/>
      <c r="AG218" s="1039"/>
      <c r="AZ218" s="143"/>
    </row>
    <row r="219" spans="2:52">
      <c r="B219" s="86"/>
      <c r="C219" s="28"/>
      <c r="D219" s="164"/>
      <c r="E219" s="29"/>
      <c r="F219" s="29"/>
      <c r="G219" s="263"/>
      <c r="H219" s="8"/>
      <c r="I219" s="8"/>
      <c r="J219" s="8"/>
      <c r="K219" s="7"/>
      <c r="L219" s="324"/>
      <c r="M219" s="38"/>
      <c r="N219" s="29"/>
      <c r="O219" s="9"/>
      <c r="P219" s="9"/>
      <c r="Q219" s="9"/>
      <c r="R219" s="9"/>
      <c r="S219" s="76"/>
      <c r="T219" s="8"/>
      <c r="U219" s="1011"/>
      <c r="V219" s="8"/>
      <c r="W219" s="8"/>
      <c r="X219" s="1011"/>
      <c r="Z219" s="143"/>
      <c r="AA219" s="316"/>
      <c r="AB219" s="45"/>
      <c r="AC219" s="8"/>
      <c r="AD219" s="8"/>
      <c r="AE219" s="25"/>
      <c r="AF219" s="1050"/>
      <c r="AG219" s="1039"/>
      <c r="AZ219" s="143"/>
    </row>
    <row r="220" spans="2:52">
      <c r="B220" s="86"/>
      <c r="C220" s="28"/>
      <c r="D220" s="164"/>
      <c r="E220" s="29"/>
      <c r="F220" s="29"/>
      <c r="G220" s="263"/>
      <c r="H220" s="8"/>
      <c r="I220" s="8"/>
      <c r="J220" s="8"/>
      <c r="K220" s="7"/>
      <c r="L220" s="324"/>
      <c r="M220" s="38"/>
      <c r="N220" s="29"/>
      <c r="O220" s="9"/>
      <c r="P220" s="9"/>
      <c r="Q220" s="9"/>
      <c r="R220" s="9"/>
      <c r="S220" s="76"/>
      <c r="T220" s="8"/>
      <c r="U220" s="1011"/>
      <c r="V220" s="8"/>
      <c r="W220" s="8"/>
      <c r="X220" s="1011"/>
      <c r="Z220" s="143"/>
      <c r="AA220" s="316"/>
      <c r="AB220" s="45"/>
      <c r="AC220" s="8"/>
      <c r="AD220" s="8"/>
      <c r="AE220" s="25"/>
      <c r="AF220" s="1050"/>
      <c r="AG220" s="1039"/>
      <c r="AZ220" s="143"/>
    </row>
    <row r="221" spans="2:52">
      <c r="B221" s="86"/>
      <c r="C221" s="28"/>
      <c r="D221" s="164"/>
      <c r="E221" s="29"/>
      <c r="F221" s="29"/>
      <c r="G221" s="263"/>
      <c r="H221" s="8"/>
      <c r="I221" s="8"/>
      <c r="J221" s="8"/>
      <c r="K221" s="7"/>
      <c r="L221" s="324"/>
      <c r="M221" s="38"/>
      <c r="N221" s="29"/>
      <c r="O221" s="9"/>
      <c r="P221" s="9"/>
      <c r="Q221" s="9"/>
      <c r="R221" s="9"/>
      <c r="S221" s="76"/>
      <c r="T221" s="8"/>
      <c r="U221" s="1011"/>
      <c r="V221" s="8"/>
      <c r="W221" s="8"/>
      <c r="X221" s="1011"/>
      <c r="Z221" s="143"/>
      <c r="AA221" s="316"/>
      <c r="AB221" s="45"/>
      <c r="AC221" s="8"/>
      <c r="AD221" s="8"/>
      <c r="AE221" s="25"/>
      <c r="AF221" s="1050"/>
      <c r="AG221" s="1039"/>
      <c r="AZ221" s="143"/>
    </row>
    <row r="222" spans="2:52">
      <c r="B222" s="86"/>
      <c r="C222" s="28"/>
      <c r="D222" s="164"/>
      <c r="E222" s="29"/>
      <c r="F222" s="29"/>
      <c r="G222" s="263"/>
      <c r="H222" s="8"/>
      <c r="I222" s="8"/>
      <c r="J222" s="8"/>
      <c r="K222" s="7"/>
      <c r="L222" s="324"/>
      <c r="M222" s="38"/>
      <c r="N222" s="29"/>
      <c r="O222" s="9"/>
      <c r="P222" s="9"/>
      <c r="Q222" s="9"/>
      <c r="R222" s="9"/>
      <c r="S222" s="76"/>
      <c r="T222" s="8"/>
      <c r="U222" s="1011"/>
      <c r="V222" s="8"/>
      <c r="W222" s="8"/>
      <c r="X222" s="1011"/>
      <c r="Z222" s="143"/>
      <c r="AA222" s="316"/>
      <c r="AB222" s="45"/>
      <c r="AC222" s="8"/>
      <c r="AD222" s="8"/>
      <c r="AE222" s="25"/>
      <c r="AF222" s="1050"/>
      <c r="AG222" s="1039"/>
      <c r="AZ222" s="143"/>
    </row>
    <row r="223" spans="2:52">
      <c r="B223" s="86"/>
      <c r="C223" s="28"/>
      <c r="D223" s="164"/>
      <c r="E223" s="29"/>
      <c r="F223" s="29"/>
      <c r="G223" s="263"/>
      <c r="H223" s="8"/>
      <c r="I223" s="8"/>
      <c r="J223" s="8"/>
      <c r="K223" s="7"/>
      <c r="L223" s="324"/>
      <c r="M223" s="38"/>
      <c r="N223" s="29"/>
      <c r="O223" s="9"/>
      <c r="P223" s="9"/>
      <c r="Q223" s="9"/>
      <c r="R223" s="9"/>
      <c r="S223" s="76"/>
      <c r="T223" s="8"/>
      <c r="U223" s="1011"/>
      <c r="V223" s="8"/>
      <c r="W223" s="8"/>
      <c r="X223" s="1011"/>
      <c r="Z223" s="143"/>
      <c r="AA223" s="316"/>
      <c r="AB223" s="45"/>
      <c r="AC223" s="8"/>
      <c r="AD223" s="8"/>
      <c r="AE223" s="25"/>
      <c r="AF223" s="1050"/>
      <c r="AG223" s="1039"/>
      <c r="AZ223" s="143"/>
    </row>
    <row r="224" spans="2:52">
      <c r="B224" s="86"/>
      <c r="C224" s="28"/>
      <c r="D224" s="164"/>
      <c r="E224" s="29"/>
      <c r="F224" s="29"/>
      <c r="G224" s="263"/>
      <c r="H224" s="8"/>
      <c r="I224" s="8"/>
      <c r="J224" s="8"/>
      <c r="K224" s="7"/>
      <c r="L224" s="324"/>
      <c r="M224" s="38"/>
      <c r="N224" s="29"/>
      <c r="O224" s="9"/>
      <c r="P224" s="9"/>
      <c r="Q224" s="9"/>
      <c r="R224" s="9"/>
      <c r="S224" s="76"/>
      <c r="T224" s="8"/>
      <c r="U224" s="1011"/>
      <c r="V224" s="8"/>
      <c r="W224" s="8"/>
      <c r="X224" s="1011"/>
      <c r="Z224" s="143"/>
      <c r="AA224" s="316"/>
      <c r="AB224" s="45"/>
      <c r="AC224" s="8"/>
      <c r="AD224" s="8"/>
      <c r="AE224" s="25"/>
      <c r="AF224" s="1050"/>
      <c r="AG224" s="1039"/>
      <c r="AZ224" s="143"/>
    </row>
    <row r="225" spans="2:52">
      <c r="B225" s="86"/>
      <c r="C225" s="28"/>
      <c r="D225" s="164"/>
      <c r="E225" s="29"/>
      <c r="F225" s="29"/>
      <c r="G225" s="263"/>
      <c r="H225" s="8"/>
      <c r="I225" s="8"/>
      <c r="J225" s="8"/>
      <c r="K225" s="7"/>
      <c r="L225" s="324"/>
      <c r="M225" s="38"/>
      <c r="N225" s="29"/>
      <c r="O225" s="9"/>
      <c r="P225" s="9"/>
      <c r="Q225" s="9"/>
      <c r="R225" s="9"/>
      <c r="S225" s="76"/>
      <c r="T225" s="8"/>
      <c r="U225" s="1011"/>
      <c r="V225" s="8"/>
      <c r="W225" s="8"/>
      <c r="X225" s="1011"/>
      <c r="Z225" s="143"/>
      <c r="AA225" s="316"/>
      <c r="AB225" s="45"/>
      <c r="AC225" s="8"/>
      <c r="AD225" s="8"/>
      <c r="AE225" s="25"/>
      <c r="AF225" s="1050"/>
      <c r="AG225" s="1039"/>
      <c r="AZ225" s="143"/>
    </row>
    <row r="226" spans="2:52">
      <c r="B226" s="86"/>
      <c r="C226" s="28"/>
      <c r="D226" s="164"/>
      <c r="E226" s="29"/>
      <c r="F226" s="29"/>
      <c r="G226" s="263"/>
      <c r="H226" s="8"/>
      <c r="I226" s="8"/>
      <c r="J226" s="8"/>
      <c r="K226" s="7"/>
      <c r="L226" s="324"/>
      <c r="M226" s="38"/>
      <c r="N226" s="29"/>
      <c r="O226" s="9"/>
      <c r="P226" s="9"/>
      <c r="Q226" s="9"/>
      <c r="R226" s="9"/>
      <c r="S226" s="76"/>
      <c r="T226" s="8"/>
      <c r="U226" s="1011"/>
      <c r="V226" s="8"/>
      <c r="W226" s="8"/>
      <c r="X226" s="1011"/>
      <c r="Z226" s="143"/>
      <c r="AA226" s="316"/>
      <c r="AB226" s="45"/>
      <c r="AC226" s="8"/>
      <c r="AD226" s="8"/>
      <c r="AE226" s="25"/>
      <c r="AF226" s="1050"/>
      <c r="AG226" s="1039"/>
      <c r="AZ226" s="143"/>
    </row>
    <row r="227" spans="2:52">
      <c r="B227" s="86"/>
      <c r="C227" s="28"/>
      <c r="D227" s="164"/>
      <c r="E227" s="29"/>
      <c r="F227" s="29"/>
      <c r="G227" s="263"/>
      <c r="H227" s="8"/>
      <c r="I227" s="8"/>
      <c r="J227" s="8"/>
      <c r="K227" s="7"/>
      <c r="L227" s="324"/>
      <c r="M227" s="38"/>
      <c r="N227" s="29"/>
      <c r="O227" s="9"/>
      <c r="P227" s="9"/>
      <c r="Q227" s="9"/>
      <c r="R227" s="9"/>
      <c r="S227" s="76"/>
      <c r="T227" s="8"/>
      <c r="U227" s="1011"/>
      <c r="V227" s="8"/>
      <c r="W227" s="8"/>
      <c r="X227" s="1011"/>
      <c r="Z227" s="143"/>
      <c r="AA227" s="316"/>
      <c r="AB227" s="45"/>
      <c r="AC227" s="8"/>
      <c r="AD227" s="8"/>
      <c r="AE227" s="25"/>
      <c r="AF227" s="1050"/>
      <c r="AG227" s="1039"/>
      <c r="AZ227" s="143"/>
    </row>
    <row r="228" spans="2:52">
      <c r="B228" s="86"/>
      <c r="C228" s="28"/>
      <c r="D228" s="164"/>
      <c r="E228" s="29"/>
      <c r="F228" s="29"/>
      <c r="G228" s="263"/>
      <c r="H228" s="8"/>
      <c r="I228" s="8"/>
      <c r="J228" s="8"/>
      <c r="K228" s="7"/>
      <c r="L228" s="324"/>
      <c r="M228" s="38"/>
      <c r="N228" s="29"/>
      <c r="O228" s="9"/>
      <c r="P228" s="9"/>
      <c r="Q228" s="9"/>
      <c r="R228" s="9"/>
      <c r="S228" s="76"/>
      <c r="T228" s="8"/>
      <c r="U228" s="1011"/>
      <c r="V228" s="8"/>
      <c r="W228" s="8"/>
      <c r="X228" s="1011"/>
      <c r="Z228" s="143"/>
      <c r="AA228" s="316"/>
      <c r="AB228" s="45"/>
      <c r="AC228" s="8"/>
      <c r="AD228" s="8"/>
      <c r="AE228" s="25"/>
      <c r="AF228" s="1050"/>
      <c r="AG228" s="1039"/>
      <c r="AZ228" s="143"/>
    </row>
    <row r="229" spans="2:52">
      <c r="B229" s="86"/>
      <c r="C229" s="28"/>
      <c r="D229" s="164"/>
      <c r="E229" s="29"/>
      <c r="F229" s="29"/>
      <c r="G229" s="263"/>
      <c r="H229" s="8"/>
      <c r="I229" s="8"/>
      <c r="J229" s="8"/>
      <c r="K229" s="7"/>
      <c r="L229" s="324"/>
      <c r="M229" s="38"/>
      <c r="N229" s="29"/>
      <c r="O229" s="9"/>
      <c r="P229" s="9"/>
      <c r="Q229" s="9"/>
      <c r="R229" s="9"/>
      <c r="S229" s="76"/>
      <c r="T229" s="8"/>
      <c r="U229" s="1011"/>
      <c r="V229" s="8"/>
      <c r="W229" s="8"/>
      <c r="X229" s="1011"/>
      <c r="Z229" s="143"/>
      <c r="AA229" s="316"/>
      <c r="AB229" s="45"/>
      <c r="AC229" s="8"/>
      <c r="AD229" s="8"/>
      <c r="AE229" s="25"/>
      <c r="AF229" s="1050"/>
      <c r="AG229" s="1039"/>
      <c r="AZ229" s="143"/>
    </row>
    <row r="230" spans="2:52">
      <c r="B230" s="86"/>
      <c r="C230" s="28"/>
      <c r="D230" s="164"/>
      <c r="E230" s="29"/>
      <c r="F230" s="29"/>
      <c r="G230" s="263"/>
      <c r="H230" s="8"/>
      <c r="I230" s="8"/>
      <c r="J230" s="8"/>
      <c r="K230" s="7"/>
      <c r="L230" s="324"/>
      <c r="M230" s="38"/>
      <c r="N230" s="29"/>
      <c r="O230" s="9"/>
      <c r="P230" s="9"/>
      <c r="Q230" s="9"/>
      <c r="R230" s="9"/>
      <c r="S230" s="76"/>
      <c r="T230" s="8"/>
      <c r="U230" s="1011"/>
      <c r="V230" s="8"/>
      <c r="W230" s="8"/>
      <c r="X230" s="1011"/>
      <c r="Z230" s="143"/>
      <c r="AA230" s="316"/>
      <c r="AB230" s="45"/>
      <c r="AC230" s="8"/>
      <c r="AD230" s="8"/>
      <c r="AE230" s="25"/>
      <c r="AF230" s="1050"/>
      <c r="AG230" s="1039"/>
      <c r="AZ230" s="143"/>
    </row>
    <row r="231" spans="2:52">
      <c r="B231" s="86"/>
      <c r="C231" s="28"/>
      <c r="D231" s="164"/>
      <c r="E231" s="29"/>
      <c r="F231" s="29"/>
      <c r="G231" s="263"/>
      <c r="H231" s="8"/>
      <c r="I231" s="8"/>
      <c r="J231" s="8"/>
      <c r="K231" s="7"/>
      <c r="L231" s="324"/>
      <c r="M231" s="38"/>
      <c r="N231" s="29"/>
      <c r="O231" s="9"/>
      <c r="P231" s="9"/>
      <c r="Q231" s="9"/>
      <c r="R231" s="9"/>
      <c r="S231" s="76"/>
      <c r="T231" s="8"/>
      <c r="U231" s="1011"/>
      <c r="V231" s="8"/>
      <c r="W231" s="8"/>
      <c r="X231" s="1011"/>
      <c r="Z231" s="143"/>
      <c r="AA231" s="316"/>
      <c r="AB231" s="45"/>
      <c r="AC231" s="8"/>
      <c r="AD231" s="8"/>
      <c r="AE231" s="25"/>
      <c r="AF231" s="1050"/>
      <c r="AG231" s="1039"/>
      <c r="AZ231" s="143"/>
    </row>
    <row r="232" spans="2:52">
      <c r="B232" s="86"/>
      <c r="C232" s="28"/>
      <c r="D232" s="164"/>
      <c r="E232" s="29"/>
      <c r="F232" s="29"/>
      <c r="G232" s="263"/>
      <c r="H232" s="8"/>
      <c r="I232" s="8"/>
      <c r="J232" s="8"/>
      <c r="K232" s="7"/>
      <c r="L232" s="324"/>
      <c r="M232" s="38"/>
      <c r="N232" s="29"/>
      <c r="O232" s="9"/>
      <c r="P232" s="9"/>
      <c r="Q232" s="9"/>
      <c r="R232" s="9"/>
      <c r="S232" s="76"/>
      <c r="T232" s="8"/>
      <c r="U232" s="1011"/>
      <c r="V232" s="8"/>
      <c r="W232" s="8"/>
      <c r="X232" s="1011"/>
      <c r="Z232" s="143"/>
      <c r="AA232" s="316"/>
      <c r="AB232" s="45"/>
      <c r="AC232" s="8"/>
      <c r="AD232" s="8"/>
      <c r="AE232" s="25"/>
      <c r="AF232" s="1050"/>
      <c r="AG232" s="1039"/>
      <c r="AZ232" s="143"/>
    </row>
    <row r="233" spans="2:52">
      <c r="B233" s="86"/>
      <c r="C233" s="28"/>
      <c r="D233" s="164"/>
      <c r="E233" s="29"/>
      <c r="F233" s="29"/>
      <c r="G233" s="263"/>
      <c r="H233" s="8"/>
      <c r="I233" s="8"/>
      <c r="J233" s="8"/>
      <c r="K233" s="7"/>
      <c r="L233" s="324"/>
      <c r="M233" s="38"/>
      <c r="N233" s="29"/>
      <c r="O233" s="9"/>
      <c r="P233" s="9"/>
      <c r="Q233" s="9"/>
      <c r="R233" s="9"/>
      <c r="S233" s="76"/>
      <c r="T233" s="8"/>
      <c r="U233" s="1011"/>
      <c r="V233" s="8"/>
      <c r="W233" s="8"/>
      <c r="X233" s="1011"/>
      <c r="Z233" s="143"/>
      <c r="AA233" s="316"/>
      <c r="AB233" s="45"/>
      <c r="AC233" s="8"/>
      <c r="AD233" s="8"/>
      <c r="AE233" s="25"/>
      <c r="AF233" s="1050"/>
      <c r="AG233" s="1039"/>
      <c r="AZ233" s="143"/>
    </row>
    <row r="234" spans="2:52">
      <c r="B234" s="86"/>
      <c r="C234" s="28"/>
      <c r="D234" s="164"/>
      <c r="E234" s="29"/>
      <c r="F234" s="29"/>
      <c r="G234" s="263"/>
      <c r="H234" s="8"/>
      <c r="I234" s="8"/>
      <c r="J234" s="8"/>
      <c r="K234" s="7"/>
      <c r="L234" s="324"/>
      <c r="M234" s="38"/>
      <c r="N234" s="29"/>
      <c r="O234" s="9"/>
      <c r="P234" s="9"/>
      <c r="Q234" s="9"/>
      <c r="R234" s="9"/>
      <c r="S234" s="76"/>
      <c r="T234" s="8"/>
      <c r="U234" s="1011"/>
      <c r="V234" s="8"/>
      <c r="W234" s="8"/>
      <c r="X234" s="1011"/>
      <c r="Z234" s="143"/>
      <c r="AA234" s="316"/>
      <c r="AB234" s="45"/>
      <c r="AC234" s="8"/>
      <c r="AD234" s="8"/>
      <c r="AE234" s="25"/>
      <c r="AF234" s="1050"/>
      <c r="AG234" s="1039"/>
      <c r="AZ234" s="143"/>
    </row>
    <row r="235" spans="2:52">
      <c r="B235" s="86"/>
      <c r="C235" s="28"/>
      <c r="D235" s="164"/>
      <c r="E235" s="29"/>
      <c r="F235" s="29"/>
      <c r="G235" s="263"/>
      <c r="H235" s="8"/>
      <c r="I235" s="8"/>
      <c r="J235" s="8"/>
      <c r="K235" s="7"/>
      <c r="L235" s="324"/>
      <c r="M235" s="38"/>
      <c r="N235" s="29"/>
      <c r="O235" s="9"/>
      <c r="P235" s="9"/>
      <c r="Q235" s="9"/>
      <c r="R235" s="9"/>
      <c r="S235" s="76"/>
      <c r="T235" s="8"/>
      <c r="U235" s="1011"/>
      <c r="V235" s="8"/>
      <c r="W235" s="8"/>
      <c r="X235" s="1011"/>
      <c r="Z235" s="143"/>
      <c r="AA235" s="316"/>
      <c r="AB235" s="45"/>
      <c r="AC235" s="8"/>
      <c r="AD235" s="8"/>
      <c r="AE235" s="25"/>
      <c r="AF235" s="1050"/>
      <c r="AG235" s="1039"/>
      <c r="AZ235" s="143"/>
    </row>
    <row r="236" spans="2:52">
      <c r="B236" s="86"/>
      <c r="C236" s="28"/>
      <c r="D236" s="164"/>
      <c r="E236" s="29"/>
      <c r="F236" s="29"/>
      <c r="G236" s="263"/>
      <c r="H236" s="8"/>
      <c r="I236" s="8"/>
      <c r="J236" s="8"/>
      <c r="K236" s="7"/>
      <c r="L236" s="324"/>
      <c r="M236" s="38"/>
      <c r="N236" s="29"/>
      <c r="O236" s="9"/>
      <c r="P236" s="9"/>
      <c r="Q236" s="9"/>
      <c r="R236" s="9"/>
      <c r="S236" s="76"/>
      <c r="T236" s="8"/>
      <c r="U236" s="1011"/>
      <c r="V236" s="8"/>
      <c r="W236" s="8"/>
      <c r="X236" s="1011"/>
      <c r="Z236" s="143"/>
      <c r="AA236" s="316"/>
      <c r="AB236" s="45"/>
      <c r="AC236" s="8"/>
      <c r="AD236" s="8"/>
      <c r="AE236" s="25"/>
      <c r="AF236" s="1050"/>
      <c r="AG236" s="1039"/>
      <c r="AZ236" s="143"/>
    </row>
    <row r="237" spans="2:52">
      <c r="B237" s="86"/>
      <c r="C237" s="28"/>
      <c r="D237" s="164"/>
      <c r="E237" s="29"/>
      <c r="F237" s="29"/>
      <c r="G237" s="263"/>
      <c r="H237" s="8"/>
      <c r="I237" s="8"/>
      <c r="J237" s="8"/>
      <c r="K237" s="7"/>
      <c r="L237" s="324"/>
      <c r="M237" s="38"/>
      <c r="N237" s="29"/>
      <c r="O237" s="9"/>
      <c r="P237" s="9"/>
      <c r="Q237" s="9"/>
      <c r="R237" s="9"/>
      <c r="S237" s="76"/>
      <c r="T237" s="8"/>
      <c r="U237" s="1011"/>
      <c r="V237" s="8"/>
      <c r="W237" s="8"/>
      <c r="X237" s="1011"/>
      <c r="Z237" s="143"/>
      <c r="AA237" s="316"/>
      <c r="AB237" s="45"/>
      <c r="AC237" s="8"/>
      <c r="AD237" s="8"/>
      <c r="AE237" s="25"/>
      <c r="AF237" s="1050"/>
      <c r="AG237" s="1039"/>
      <c r="AZ237" s="143"/>
    </row>
    <row r="238" spans="2:52">
      <c r="B238" s="86"/>
      <c r="C238" s="28"/>
      <c r="D238" s="164"/>
      <c r="E238" s="29"/>
      <c r="F238" s="29"/>
      <c r="G238" s="263"/>
      <c r="H238" s="8"/>
      <c r="I238" s="8"/>
      <c r="J238" s="8"/>
      <c r="K238" s="7"/>
      <c r="L238" s="324"/>
      <c r="M238" s="38"/>
      <c r="N238" s="29"/>
      <c r="O238" s="9"/>
      <c r="P238" s="9"/>
      <c r="Q238" s="9"/>
      <c r="R238" s="9"/>
      <c r="S238" s="76"/>
      <c r="T238" s="8"/>
      <c r="U238" s="1011"/>
      <c r="V238" s="8"/>
      <c r="W238" s="8"/>
      <c r="X238" s="1011"/>
      <c r="Z238" s="143"/>
      <c r="AA238" s="316"/>
      <c r="AB238" s="45"/>
      <c r="AC238" s="8"/>
      <c r="AD238" s="8"/>
      <c r="AE238" s="25"/>
      <c r="AF238" s="1050"/>
      <c r="AG238" s="1039"/>
      <c r="AZ238" s="143"/>
    </row>
    <row r="239" spans="2:52">
      <c r="B239" s="86"/>
      <c r="C239" s="28"/>
      <c r="D239" s="164"/>
      <c r="E239" s="29"/>
      <c r="F239" s="29"/>
      <c r="G239" s="263"/>
      <c r="H239" s="8"/>
      <c r="I239" s="8"/>
      <c r="J239" s="8"/>
      <c r="K239" s="7"/>
      <c r="L239" s="324"/>
      <c r="M239" s="38"/>
      <c r="N239" s="29"/>
      <c r="O239" s="9"/>
      <c r="P239" s="9"/>
      <c r="Q239" s="9"/>
      <c r="R239" s="9"/>
      <c r="S239" s="76"/>
      <c r="T239" s="8"/>
      <c r="U239" s="1011"/>
      <c r="V239" s="8"/>
      <c r="W239" s="8"/>
      <c r="X239" s="1011"/>
      <c r="Z239" s="143"/>
      <c r="AA239" s="316"/>
      <c r="AB239" s="45"/>
      <c r="AC239" s="8"/>
      <c r="AD239" s="8"/>
      <c r="AE239" s="25"/>
      <c r="AF239" s="1050"/>
      <c r="AG239" s="1039"/>
      <c r="AZ239" s="143"/>
    </row>
    <row r="240" spans="2:52">
      <c r="B240" s="86"/>
      <c r="C240" s="28"/>
      <c r="D240" s="164"/>
      <c r="E240" s="29"/>
      <c r="F240" s="29"/>
      <c r="G240" s="263"/>
      <c r="H240" s="8"/>
      <c r="I240" s="8"/>
      <c r="J240" s="8"/>
      <c r="K240" s="7"/>
      <c r="L240" s="324"/>
      <c r="M240" s="38"/>
      <c r="N240" s="29"/>
      <c r="O240" s="9"/>
      <c r="P240" s="9"/>
      <c r="Q240" s="9"/>
      <c r="R240" s="9"/>
      <c r="S240" s="76"/>
      <c r="T240" s="8"/>
      <c r="U240" s="1011"/>
      <c r="V240" s="8"/>
      <c r="W240" s="8"/>
      <c r="X240" s="1011"/>
      <c r="Z240" s="143"/>
      <c r="AA240" s="316"/>
      <c r="AB240" s="45"/>
      <c r="AC240" s="8"/>
      <c r="AD240" s="8"/>
      <c r="AE240" s="25"/>
      <c r="AF240" s="1050"/>
      <c r="AG240" s="1039"/>
      <c r="AZ240" s="143"/>
    </row>
    <row r="241" spans="2:52">
      <c r="B241" s="86"/>
      <c r="C241" s="28"/>
      <c r="D241" s="164"/>
      <c r="E241" s="29"/>
      <c r="F241" s="29"/>
      <c r="G241" s="263"/>
      <c r="H241" s="8"/>
      <c r="I241" s="8"/>
      <c r="J241" s="8"/>
      <c r="K241" s="7"/>
      <c r="L241" s="324"/>
      <c r="M241" s="38"/>
      <c r="N241" s="29"/>
      <c r="O241" s="9"/>
      <c r="P241" s="9"/>
      <c r="Q241" s="9"/>
      <c r="R241" s="9"/>
      <c r="S241" s="76"/>
      <c r="T241" s="8"/>
      <c r="U241" s="1011"/>
      <c r="V241" s="8"/>
      <c r="W241" s="8"/>
      <c r="X241" s="1011"/>
      <c r="Z241" s="143"/>
      <c r="AA241" s="316"/>
      <c r="AB241" s="45"/>
      <c r="AC241" s="8"/>
      <c r="AD241" s="8"/>
      <c r="AE241" s="25"/>
      <c r="AF241" s="1050"/>
      <c r="AG241" s="1039"/>
      <c r="AZ241" s="143"/>
    </row>
    <row r="242" spans="2:52">
      <c r="B242" s="86"/>
      <c r="C242" s="28"/>
      <c r="D242" s="164"/>
      <c r="E242" s="29"/>
      <c r="F242" s="29"/>
      <c r="G242" s="263"/>
      <c r="H242" s="8"/>
      <c r="I242" s="8"/>
      <c r="J242" s="8"/>
      <c r="K242" s="7"/>
      <c r="L242" s="324"/>
      <c r="M242" s="38"/>
      <c r="N242" s="29"/>
      <c r="O242" s="9"/>
      <c r="P242" s="9"/>
      <c r="Q242" s="9"/>
      <c r="R242" s="9"/>
      <c r="S242" s="76"/>
      <c r="T242" s="8"/>
      <c r="U242" s="1011"/>
      <c r="V242" s="8"/>
      <c r="W242" s="8"/>
      <c r="X242" s="1011"/>
      <c r="Z242" s="143"/>
      <c r="AA242" s="316"/>
      <c r="AB242" s="45"/>
      <c r="AC242" s="8"/>
      <c r="AD242" s="8"/>
      <c r="AE242" s="25"/>
      <c r="AF242" s="1050"/>
      <c r="AG242" s="1039"/>
      <c r="AZ242" s="143"/>
    </row>
    <row r="243" spans="2:52">
      <c r="B243" s="86"/>
      <c r="C243" s="28"/>
      <c r="D243" s="164"/>
      <c r="E243" s="29"/>
      <c r="F243" s="29"/>
      <c r="G243" s="263"/>
      <c r="H243" s="8"/>
      <c r="I243" s="8"/>
      <c r="J243" s="8"/>
      <c r="K243" s="7"/>
      <c r="L243" s="324"/>
      <c r="M243" s="38"/>
      <c r="N243" s="29"/>
      <c r="O243" s="9"/>
      <c r="P243" s="9"/>
      <c r="Q243" s="9"/>
      <c r="R243" s="9"/>
      <c r="S243" s="76"/>
      <c r="T243" s="8"/>
      <c r="U243" s="1011"/>
      <c r="V243" s="8"/>
      <c r="W243" s="8"/>
      <c r="X243" s="1011"/>
      <c r="Z243" s="143"/>
      <c r="AA243" s="316"/>
      <c r="AB243" s="45"/>
      <c r="AC243" s="8"/>
      <c r="AD243" s="8"/>
      <c r="AE243" s="25"/>
      <c r="AF243" s="1050"/>
      <c r="AG243" s="1039"/>
      <c r="AZ243" s="143"/>
    </row>
    <row r="244" spans="2:52">
      <c r="B244" s="86"/>
      <c r="C244" s="28"/>
      <c r="D244" s="164"/>
      <c r="E244" s="29"/>
      <c r="F244" s="29"/>
      <c r="G244" s="263"/>
      <c r="H244" s="8"/>
      <c r="I244" s="8"/>
      <c r="J244" s="8"/>
      <c r="K244" s="7"/>
      <c r="L244" s="324"/>
      <c r="M244" s="38"/>
      <c r="N244" s="29"/>
      <c r="O244" s="9"/>
      <c r="P244" s="9"/>
      <c r="Q244" s="9"/>
      <c r="R244" s="9"/>
      <c r="S244" s="76"/>
      <c r="T244" s="8"/>
      <c r="U244" s="1011"/>
      <c r="V244" s="8"/>
      <c r="W244" s="8"/>
      <c r="X244" s="1011"/>
      <c r="Z244" s="143"/>
      <c r="AA244" s="316"/>
      <c r="AB244" s="45"/>
      <c r="AC244" s="8"/>
      <c r="AD244" s="8"/>
      <c r="AE244" s="25"/>
      <c r="AF244" s="1050"/>
      <c r="AG244" s="1039"/>
      <c r="AZ244" s="143"/>
    </row>
    <row r="245" spans="2:52">
      <c r="B245" s="86"/>
      <c r="C245" s="28"/>
      <c r="D245" s="164"/>
      <c r="E245" s="29"/>
      <c r="F245" s="29"/>
      <c r="G245" s="263"/>
      <c r="H245" s="8"/>
      <c r="I245" s="8"/>
      <c r="J245" s="8"/>
      <c r="K245" s="7"/>
      <c r="L245" s="324"/>
      <c r="M245" s="38"/>
      <c r="N245" s="29"/>
      <c r="O245" s="9"/>
      <c r="P245" s="9"/>
      <c r="Q245" s="9"/>
      <c r="R245" s="9"/>
      <c r="S245" s="76"/>
      <c r="T245" s="8"/>
      <c r="U245" s="1011"/>
      <c r="V245" s="8"/>
      <c r="W245" s="8"/>
      <c r="X245" s="1011"/>
      <c r="Z245" s="143"/>
      <c r="AA245" s="316"/>
      <c r="AB245" s="45"/>
      <c r="AC245" s="8"/>
      <c r="AD245" s="8"/>
      <c r="AE245" s="25"/>
      <c r="AF245" s="1050"/>
      <c r="AG245" s="1039"/>
      <c r="AZ245" s="143"/>
    </row>
    <row r="246" spans="2:52">
      <c r="B246" s="86"/>
      <c r="C246" s="28"/>
      <c r="D246" s="164"/>
      <c r="E246" s="29"/>
      <c r="F246" s="29"/>
      <c r="G246" s="263"/>
      <c r="H246" s="8"/>
      <c r="I246" s="8"/>
      <c r="J246" s="8"/>
      <c r="K246" s="7"/>
      <c r="L246" s="324"/>
      <c r="M246" s="38"/>
      <c r="N246" s="29"/>
      <c r="O246" s="9"/>
      <c r="P246" s="9"/>
      <c r="Q246" s="9"/>
      <c r="R246" s="9"/>
      <c r="S246" s="76"/>
      <c r="T246" s="8"/>
      <c r="U246" s="1011"/>
      <c r="V246" s="8"/>
      <c r="W246" s="8"/>
      <c r="X246" s="1011"/>
      <c r="Z246" s="143"/>
      <c r="AA246" s="316"/>
      <c r="AB246" s="45"/>
      <c r="AC246" s="8"/>
      <c r="AD246" s="8"/>
      <c r="AE246" s="25"/>
      <c r="AF246" s="1050"/>
      <c r="AG246" s="1039"/>
      <c r="AZ246" s="143"/>
    </row>
    <row r="247" spans="2:52">
      <c r="B247" s="86"/>
      <c r="C247" s="28"/>
      <c r="D247" s="164"/>
      <c r="E247" s="29"/>
      <c r="F247" s="29"/>
      <c r="G247" s="263"/>
      <c r="H247" s="8"/>
      <c r="I247" s="8"/>
      <c r="J247" s="8"/>
      <c r="K247" s="7"/>
      <c r="L247" s="324"/>
      <c r="M247" s="38"/>
      <c r="N247" s="29"/>
      <c r="O247" s="9"/>
      <c r="P247" s="9"/>
      <c r="Q247" s="9"/>
      <c r="R247" s="9"/>
      <c r="S247" s="76"/>
      <c r="T247" s="8"/>
      <c r="U247" s="1011"/>
      <c r="V247" s="8"/>
      <c r="W247" s="8"/>
      <c r="X247" s="1011"/>
      <c r="Z247" s="143"/>
      <c r="AA247" s="316"/>
      <c r="AB247" s="45"/>
      <c r="AC247" s="8"/>
      <c r="AD247" s="8"/>
      <c r="AE247" s="25"/>
      <c r="AF247" s="1050"/>
      <c r="AG247" s="1039"/>
      <c r="AZ247" s="143"/>
    </row>
    <row r="248" spans="2:52">
      <c r="B248" s="86"/>
      <c r="C248" s="28"/>
      <c r="D248" s="164"/>
      <c r="E248" s="29"/>
      <c r="F248" s="29"/>
      <c r="G248" s="263"/>
      <c r="H248" s="8"/>
      <c r="I248" s="8"/>
      <c r="J248" s="8"/>
      <c r="K248" s="7"/>
      <c r="L248" s="324"/>
      <c r="M248" s="38"/>
      <c r="N248" s="29"/>
      <c r="O248" s="9"/>
      <c r="P248" s="9"/>
      <c r="Q248" s="9"/>
      <c r="R248" s="9"/>
      <c r="S248" s="76"/>
      <c r="T248" s="8"/>
      <c r="U248" s="1011"/>
      <c r="V248" s="8"/>
      <c r="W248" s="8"/>
      <c r="X248" s="1011"/>
      <c r="Z248" s="143"/>
      <c r="AA248" s="316"/>
      <c r="AB248" s="45"/>
      <c r="AC248" s="8"/>
      <c r="AD248" s="8"/>
      <c r="AE248" s="25"/>
      <c r="AF248" s="1050"/>
      <c r="AG248" s="1039"/>
      <c r="AZ248" s="143"/>
    </row>
    <row r="249" spans="2:52">
      <c r="B249" s="86"/>
      <c r="C249" s="28"/>
      <c r="D249" s="164"/>
      <c r="E249" s="29"/>
      <c r="F249" s="29"/>
      <c r="G249" s="263"/>
      <c r="H249" s="8"/>
      <c r="I249" s="8"/>
      <c r="J249" s="8"/>
      <c r="K249" s="7"/>
      <c r="L249" s="324"/>
      <c r="M249" s="38"/>
      <c r="N249" s="29"/>
      <c r="O249" s="9"/>
      <c r="P249" s="9"/>
      <c r="Q249" s="9"/>
      <c r="R249" s="9"/>
      <c r="S249" s="76"/>
      <c r="T249" s="8"/>
      <c r="U249" s="1011"/>
      <c r="V249" s="8"/>
      <c r="W249" s="8"/>
      <c r="X249" s="1011"/>
      <c r="Z249" s="143"/>
      <c r="AA249" s="316"/>
      <c r="AB249" s="45"/>
      <c r="AC249" s="8"/>
      <c r="AD249" s="8"/>
      <c r="AE249" s="25"/>
      <c r="AF249" s="1050"/>
      <c r="AG249" s="1039"/>
      <c r="AZ249" s="143"/>
    </row>
    <row r="250" spans="2:52">
      <c r="B250" s="86"/>
      <c r="C250" s="28"/>
      <c r="D250" s="164"/>
      <c r="E250" s="29"/>
      <c r="F250" s="29"/>
      <c r="G250" s="263"/>
      <c r="H250" s="8"/>
      <c r="I250" s="8"/>
      <c r="J250" s="8"/>
      <c r="K250" s="7"/>
      <c r="L250" s="324"/>
      <c r="M250" s="38"/>
      <c r="N250" s="29"/>
      <c r="O250" s="9"/>
      <c r="P250" s="9"/>
      <c r="Q250" s="9"/>
      <c r="R250" s="9"/>
      <c r="S250" s="76"/>
      <c r="T250" s="8"/>
      <c r="U250" s="1011"/>
      <c r="V250" s="8"/>
      <c r="W250" s="8"/>
      <c r="X250" s="1011"/>
      <c r="Z250" s="143"/>
      <c r="AA250" s="316"/>
      <c r="AB250" s="45"/>
      <c r="AC250" s="8"/>
      <c r="AD250" s="8"/>
      <c r="AE250" s="25"/>
      <c r="AF250" s="1050"/>
      <c r="AG250" s="1039"/>
      <c r="AZ250" s="143"/>
    </row>
    <row r="251" spans="2:52">
      <c r="B251" s="86"/>
      <c r="C251" s="28"/>
      <c r="D251" s="164"/>
      <c r="E251" s="29"/>
      <c r="F251" s="29"/>
      <c r="G251" s="263"/>
      <c r="H251" s="8"/>
      <c r="I251" s="8"/>
      <c r="J251" s="8"/>
      <c r="K251" s="7"/>
      <c r="L251" s="324"/>
      <c r="M251" s="38"/>
      <c r="N251" s="29"/>
      <c r="O251" s="9"/>
      <c r="P251" s="9"/>
      <c r="Q251" s="9"/>
      <c r="R251" s="9"/>
      <c r="S251" s="76"/>
      <c r="T251" s="8"/>
      <c r="U251" s="1011"/>
      <c r="V251" s="8"/>
      <c r="W251" s="8"/>
      <c r="X251" s="1011"/>
      <c r="Z251" s="143"/>
      <c r="AA251" s="316"/>
      <c r="AB251" s="45"/>
      <c r="AC251" s="8"/>
      <c r="AD251" s="8"/>
      <c r="AE251" s="25"/>
      <c r="AF251" s="1050"/>
      <c r="AG251" s="1039"/>
      <c r="AZ251" s="143"/>
    </row>
    <row r="252" spans="2:52">
      <c r="B252" s="86"/>
      <c r="C252" s="28"/>
      <c r="D252" s="164"/>
      <c r="E252" s="29"/>
      <c r="F252" s="29"/>
      <c r="G252" s="263"/>
      <c r="H252" s="8"/>
      <c r="I252" s="8"/>
      <c r="J252" s="8"/>
      <c r="K252" s="7"/>
      <c r="L252" s="324"/>
      <c r="M252" s="38"/>
      <c r="N252" s="29"/>
      <c r="O252" s="9"/>
      <c r="P252" s="9"/>
      <c r="Q252" s="9"/>
      <c r="R252" s="9"/>
      <c r="S252" s="76"/>
      <c r="T252" s="8"/>
      <c r="U252" s="1011"/>
      <c r="V252" s="8"/>
      <c r="W252" s="8"/>
      <c r="X252" s="1011"/>
      <c r="Z252" s="143"/>
      <c r="AA252" s="316"/>
      <c r="AB252" s="45"/>
      <c r="AC252" s="8"/>
      <c r="AD252" s="8"/>
      <c r="AE252" s="25"/>
      <c r="AF252" s="1050"/>
      <c r="AG252" s="1039"/>
      <c r="AZ252" s="143"/>
    </row>
    <row r="253" spans="2:52">
      <c r="B253" s="86"/>
      <c r="C253" s="28"/>
      <c r="D253" s="164"/>
      <c r="E253" s="29"/>
      <c r="F253" s="29"/>
      <c r="G253" s="263"/>
      <c r="H253" s="8"/>
      <c r="I253" s="8"/>
      <c r="J253" s="8"/>
      <c r="K253" s="7"/>
      <c r="L253" s="324"/>
      <c r="M253" s="38"/>
      <c r="N253" s="29"/>
      <c r="O253" s="9"/>
      <c r="P253" s="9"/>
      <c r="Q253" s="9"/>
      <c r="R253" s="9"/>
      <c r="S253" s="76"/>
      <c r="T253" s="8"/>
      <c r="U253" s="1011"/>
      <c r="V253" s="8"/>
      <c r="W253" s="8"/>
      <c r="X253" s="1011"/>
      <c r="Z253" s="143"/>
      <c r="AA253" s="316"/>
      <c r="AB253" s="45"/>
      <c r="AC253" s="8"/>
      <c r="AD253" s="8"/>
      <c r="AE253" s="25"/>
      <c r="AF253" s="1050"/>
      <c r="AG253" s="1039"/>
      <c r="AZ253" s="143"/>
    </row>
    <row r="254" spans="2:52">
      <c r="B254" s="86"/>
      <c r="C254" s="28"/>
      <c r="D254" s="164"/>
      <c r="E254" s="29"/>
      <c r="F254" s="29"/>
      <c r="G254" s="263"/>
      <c r="H254" s="8"/>
      <c r="I254" s="8"/>
      <c r="J254" s="8"/>
      <c r="K254" s="7"/>
      <c r="L254" s="324"/>
      <c r="M254" s="38"/>
      <c r="N254" s="29"/>
      <c r="O254" s="9"/>
      <c r="P254" s="9"/>
      <c r="Q254" s="9"/>
      <c r="R254" s="9"/>
      <c r="S254" s="76"/>
      <c r="T254" s="8"/>
      <c r="U254" s="1011"/>
      <c r="V254" s="8"/>
      <c r="W254" s="8"/>
      <c r="X254" s="1011"/>
      <c r="Z254" s="143"/>
      <c r="AA254" s="316"/>
      <c r="AB254" s="45"/>
      <c r="AC254" s="8"/>
      <c r="AD254" s="8"/>
      <c r="AE254" s="25"/>
      <c r="AF254" s="1050"/>
      <c r="AG254" s="1039"/>
      <c r="AZ254" s="143"/>
    </row>
    <row r="255" spans="2:52">
      <c r="B255" s="86"/>
      <c r="C255" s="28"/>
      <c r="D255" s="164"/>
      <c r="E255" s="29"/>
      <c r="F255" s="29"/>
      <c r="G255" s="263"/>
      <c r="H255" s="8"/>
      <c r="I255" s="8"/>
      <c r="J255" s="8"/>
      <c r="K255" s="7"/>
      <c r="L255" s="324"/>
      <c r="M255" s="38"/>
      <c r="N255" s="29"/>
      <c r="O255" s="9"/>
      <c r="P255" s="9"/>
      <c r="Q255" s="9"/>
      <c r="R255" s="9"/>
      <c r="S255" s="76"/>
      <c r="T255" s="8"/>
      <c r="U255" s="1011"/>
      <c r="V255" s="8"/>
      <c r="W255" s="8"/>
      <c r="X255" s="1011"/>
      <c r="Z255" s="143"/>
      <c r="AA255" s="316"/>
      <c r="AB255" s="45"/>
      <c r="AC255" s="8"/>
      <c r="AD255" s="8"/>
      <c r="AE255" s="25"/>
      <c r="AF255" s="1050"/>
      <c r="AG255" s="1039"/>
      <c r="AZ255" s="143"/>
    </row>
    <row r="256" spans="2:52">
      <c r="B256" s="86"/>
      <c r="C256" s="28"/>
      <c r="D256" s="164"/>
      <c r="E256" s="29"/>
      <c r="F256" s="29"/>
      <c r="G256" s="263"/>
      <c r="H256" s="8"/>
      <c r="I256" s="8"/>
      <c r="J256" s="8"/>
      <c r="K256" s="7"/>
      <c r="L256" s="324"/>
      <c r="M256" s="38"/>
      <c r="N256" s="29"/>
      <c r="O256" s="9"/>
      <c r="P256" s="9"/>
      <c r="Q256" s="9"/>
      <c r="R256" s="9"/>
      <c r="S256" s="76"/>
      <c r="T256" s="8"/>
      <c r="U256" s="1011"/>
      <c r="V256" s="8"/>
      <c r="W256" s="8"/>
      <c r="X256" s="1011"/>
      <c r="Z256" s="143"/>
      <c r="AA256" s="316"/>
      <c r="AB256" s="45"/>
      <c r="AC256" s="8"/>
      <c r="AD256" s="8"/>
      <c r="AE256" s="25"/>
      <c r="AF256" s="1050"/>
      <c r="AG256" s="1039"/>
      <c r="AZ256" s="143"/>
    </row>
    <row r="257" spans="2:52">
      <c r="B257" s="86"/>
      <c r="C257" s="28"/>
      <c r="D257" s="164"/>
      <c r="E257" s="29"/>
      <c r="F257" s="29"/>
      <c r="G257" s="263"/>
      <c r="H257" s="8"/>
      <c r="I257" s="8"/>
      <c r="J257" s="8"/>
      <c r="K257" s="7"/>
      <c r="L257" s="324"/>
      <c r="M257" s="38"/>
      <c r="N257" s="29"/>
      <c r="O257" s="9"/>
      <c r="P257" s="9"/>
      <c r="Q257" s="9"/>
      <c r="R257" s="9"/>
      <c r="S257" s="76"/>
      <c r="T257" s="8"/>
      <c r="U257" s="1011"/>
      <c r="V257" s="8"/>
      <c r="W257" s="8"/>
      <c r="X257" s="1011"/>
      <c r="Z257" s="143"/>
      <c r="AA257" s="316"/>
      <c r="AB257" s="45"/>
      <c r="AC257" s="8"/>
      <c r="AD257" s="8"/>
      <c r="AE257" s="25"/>
      <c r="AF257" s="1050"/>
      <c r="AG257" s="1039"/>
      <c r="AZ257" s="143"/>
    </row>
    <row r="258" spans="2:52">
      <c r="B258" s="86"/>
      <c r="C258" s="28"/>
      <c r="D258" s="164"/>
      <c r="E258" s="29"/>
      <c r="F258" s="29"/>
      <c r="G258" s="263"/>
      <c r="H258" s="8"/>
      <c r="I258" s="8"/>
      <c r="J258" s="8"/>
      <c r="K258" s="7"/>
      <c r="L258" s="324"/>
      <c r="M258" s="38"/>
      <c r="N258" s="29"/>
      <c r="O258" s="9"/>
      <c r="P258" s="9"/>
      <c r="Q258" s="9"/>
      <c r="R258" s="9"/>
      <c r="S258" s="76"/>
      <c r="T258" s="8"/>
      <c r="U258" s="1011"/>
      <c r="V258" s="8"/>
      <c r="W258" s="8"/>
      <c r="X258" s="1011"/>
      <c r="Z258" s="143"/>
      <c r="AA258" s="316"/>
      <c r="AB258" s="45"/>
      <c r="AC258" s="8"/>
      <c r="AD258" s="8"/>
      <c r="AE258" s="25"/>
      <c r="AF258" s="1050"/>
      <c r="AG258" s="1039"/>
      <c r="AZ258" s="143"/>
    </row>
    <row r="259" spans="2:52">
      <c r="B259" s="86"/>
      <c r="C259" s="28"/>
      <c r="D259" s="164"/>
      <c r="E259" s="29"/>
      <c r="F259" s="29"/>
      <c r="G259" s="263"/>
      <c r="H259" s="8"/>
      <c r="I259" s="8"/>
      <c r="J259" s="8"/>
      <c r="K259" s="7"/>
      <c r="L259" s="324"/>
      <c r="M259" s="38"/>
      <c r="N259" s="29"/>
      <c r="O259" s="9"/>
      <c r="P259" s="9"/>
      <c r="Q259" s="9"/>
      <c r="R259" s="9"/>
      <c r="S259" s="76"/>
      <c r="T259" s="8"/>
      <c r="U259" s="1011"/>
      <c r="V259" s="8"/>
      <c r="W259" s="8"/>
      <c r="X259" s="1011"/>
      <c r="Z259" s="143"/>
      <c r="AA259" s="316"/>
      <c r="AB259" s="45"/>
      <c r="AC259" s="8"/>
      <c r="AD259" s="8"/>
      <c r="AE259" s="25"/>
      <c r="AF259" s="1050"/>
      <c r="AG259" s="1039"/>
      <c r="AZ259" s="143"/>
    </row>
    <row r="260" spans="2:52">
      <c r="B260" s="86"/>
      <c r="C260" s="28"/>
      <c r="D260" s="164"/>
      <c r="E260" s="29"/>
      <c r="F260" s="29"/>
      <c r="G260" s="263"/>
      <c r="H260" s="8"/>
      <c r="I260" s="8"/>
      <c r="J260" s="8"/>
      <c r="K260" s="7"/>
      <c r="L260" s="324"/>
      <c r="M260" s="38"/>
      <c r="N260" s="29"/>
      <c r="O260" s="9"/>
      <c r="P260" s="9"/>
      <c r="Q260" s="9"/>
      <c r="R260" s="9"/>
      <c r="S260" s="76"/>
      <c r="T260" s="8"/>
      <c r="U260" s="1011"/>
      <c r="V260" s="8"/>
      <c r="W260" s="8"/>
      <c r="X260" s="1011"/>
      <c r="Z260" s="143"/>
      <c r="AA260" s="316"/>
      <c r="AB260" s="45"/>
      <c r="AC260" s="8"/>
      <c r="AD260" s="8"/>
      <c r="AE260" s="25"/>
      <c r="AF260" s="1050"/>
      <c r="AG260" s="1039"/>
      <c r="AZ260" s="143"/>
    </row>
    <row r="261" spans="2:52">
      <c r="B261" s="86"/>
      <c r="C261" s="28"/>
      <c r="D261" s="164"/>
      <c r="E261" s="29"/>
      <c r="F261" s="29"/>
      <c r="G261" s="263"/>
      <c r="H261" s="8"/>
      <c r="I261" s="8"/>
      <c r="J261" s="8"/>
      <c r="K261" s="7"/>
      <c r="L261" s="324"/>
      <c r="M261" s="38"/>
      <c r="N261" s="29"/>
      <c r="O261" s="9"/>
      <c r="P261" s="9"/>
      <c r="Q261" s="9"/>
      <c r="R261" s="9"/>
      <c r="S261" s="76"/>
      <c r="T261" s="8"/>
      <c r="U261" s="1011"/>
      <c r="V261" s="8"/>
      <c r="W261" s="8"/>
      <c r="X261" s="1011"/>
      <c r="Z261" s="143"/>
      <c r="AA261" s="316"/>
      <c r="AB261" s="45"/>
      <c r="AC261" s="8"/>
      <c r="AD261" s="8"/>
      <c r="AE261" s="25"/>
      <c r="AF261" s="1050"/>
      <c r="AG261" s="1039"/>
      <c r="AZ261" s="143"/>
    </row>
    <row r="262" spans="2:52">
      <c r="B262" s="86"/>
      <c r="C262" s="28"/>
      <c r="D262" s="164"/>
      <c r="E262" s="29"/>
      <c r="F262" s="29"/>
      <c r="G262" s="263"/>
      <c r="H262" s="8"/>
      <c r="I262" s="8"/>
      <c r="J262" s="8"/>
      <c r="K262" s="7"/>
      <c r="L262" s="324"/>
      <c r="M262" s="38"/>
      <c r="N262" s="29"/>
      <c r="O262" s="9"/>
      <c r="P262" s="9"/>
      <c r="Q262" s="9"/>
      <c r="R262" s="9"/>
      <c r="S262" s="76"/>
      <c r="T262" s="8"/>
      <c r="U262" s="1011"/>
      <c r="V262" s="8"/>
      <c r="W262" s="8"/>
      <c r="X262" s="1011"/>
      <c r="Z262" s="143"/>
      <c r="AA262" s="316"/>
      <c r="AB262" s="45"/>
      <c r="AC262" s="8"/>
      <c r="AD262" s="8"/>
      <c r="AE262" s="25"/>
      <c r="AF262" s="1050"/>
      <c r="AG262" s="1039"/>
      <c r="AZ262" s="143"/>
    </row>
    <row r="263" spans="2:52">
      <c r="B263" s="86"/>
      <c r="C263" s="28"/>
      <c r="D263" s="164"/>
      <c r="E263" s="29"/>
      <c r="F263" s="29"/>
      <c r="G263" s="263"/>
      <c r="H263" s="8"/>
      <c r="I263" s="8"/>
      <c r="J263" s="8"/>
      <c r="K263" s="7"/>
      <c r="L263" s="324"/>
      <c r="M263" s="38"/>
      <c r="N263" s="29"/>
      <c r="O263" s="9"/>
      <c r="P263" s="9"/>
      <c r="Q263" s="9"/>
      <c r="R263" s="9"/>
      <c r="S263" s="76"/>
      <c r="T263" s="8"/>
      <c r="U263" s="1011"/>
      <c r="V263" s="8"/>
      <c r="W263" s="8"/>
      <c r="X263" s="1011"/>
      <c r="Z263" s="143"/>
      <c r="AA263" s="316"/>
      <c r="AB263" s="45"/>
      <c r="AC263" s="8"/>
      <c r="AD263" s="8"/>
      <c r="AE263" s="25"/>
      <c r="AF263" s="1050"/>
      <c r="AG263" s="1039"/>
      <c r="AZ263" s="143"/>
    </row>
    <row r="264" spans="2:52">
      <c r="B264" s="86"/>
      <c r="C264" s="28"/>
      <c r="D264" s="164"/>
      <c r="E264" s="29"/>
      <c r="F264" s="29"/>
      <c r="G264" s="263"/>
      <c r="H264" s="8"/>
      <c r="I264" s="8"/>
      <c r="J264" s="8"/>
      <c r="K264" s="7"/>
      <c r="L264" s="324"/>
      <c r="M264" s="38"/>
      <c r="N264" s="29"/>
      <c r="O264" s="9"/>
      <c r="P264" s="9"/>
      <c r="Q264" s="9"/>
      <c r="R264" s="9"/>
      <c r="S264" s="76"/>
      <c r="T264" s="8"/>
      <c r="U264" s="1011"/>
      <c r="V264" s="8"/>
      <c r="W264" s="8"/>
      <c r="X264" s="1011"/>
      <c r="Z264" s="143"/>
      <c r="AA264" s="316"/>
      <c r="AB264" s="45"/>
      <c r="AC264" s="8"/>
      <c r="AD264" s="8"/>
      <c r="AE264" s="25"/>
      <c r="AF264" s="1050"/>
      <c r="AG264" s="1039"/>
      <c r="AZ264" s="143"/>
    </row>
    <row r="265" spans="2:52">
      <c r="B265" s="86"/>
      <c r="C265" s="28"/>
      <c r="D265" s="164"/>
      <c r="E265" s="29"/>
      <c r="F265" s="29"/>
      <c r="G265" s="263"/>
      <c r="H265" s="8"/>
      <c r="I265" s="8"/>
      <c r="J265" s="8"/>
      <c r="K265" s="7"/>
      <c r="L265" s="324"/>
      <c r="M265" s="38"/>
      <c r="N265" s="29"/>
      <c r="O265" s="9"/>
      <c r="P265" s="9"/>
      <c r="Q265" s="9"/>
      <c r="R265" s="9"/>
      <c r="S265" s="76"/>
      <c r="T265" s="8"/>
      <c r="U265" s="1011"/>
      <c r="V265" s="8"/>
      <c r="W265" s="8"/>
      <c r="X265" s="1011"/>
      <c r="Z265" s="143"/>
      <c r="AA265" s="316"/>
      <c r="AB265" s="45"/>
      <c r="AC265" s="8"/>
      <c r="AD265" s="8"/>
      <c r="AE265" s="25"/>
      <c r="AF265" s="1050"/>
      <c r="AG265" s="1039"/>
      <c r="AZ265" s="143"/>
    </row>
    <row r="266" spans="2:52">
      <c r="B266" s="86"/>
      <c r="C266" s="28"/>
      <c r="D266" s="164"/>
      <c r="E266" s="29"/>
      <c r="F266" s="29"/>
      <c r="G266" s="263"/>
      <c r="H266" s="8"/>
      <c r="I266" s="8"/>
      <c r="J266" s="8"/>
      <c r="K266" s="7"/>
      <c r="L266" s="324"/>
      <c r="M266" s="38"/>
      <c r="N266" s="29"/>
      <c r="O266" s="9"/>
      <c r="P266" s="9"/>
      <c r="Q266" s="9"/>
      <c r="R266" s="9"/>
      <c r="S266" s="76"/>
      <c r="T266" s="8"/>
      <c r="U266" s="1011"/>
      <c r="V266" s="8"/>
      <c r="W266" s="8"/>
      <c r="X266" s="1011"/>
      <c r="Z266" s="143"/>
      <c r="AA266" s="316"/>
      <c r="AB266" s="45"/>
      <c r="AC266" s="8"/>
      <c r="AD266" s="8"/>
      <c r="AE266" s="25"/>
      <c r="AF266" s="1050"/>
      <c r="AG266" s="1039"/>
      <c r="AZ266" s="143"/>
    </row>
    <row r="267" spans="2:52">
      <c r="B267" s="86"/>
      <c r="C267" s="28"/>
      <c r="D267" s="164"/>
      <c r="E267" s="29"/>
      <c r="F267" s="29"/>
      <c r="G267" s="263"/>
      <c r="H267" s="8"/>
      <c r="I267" s="8"/>
      <c r="J267" s="8"/>
      <c r="K267" s="7"/>
      <c r="L267" s="324"/>
      <c r="M267" s="38"/>
      <c r="N267" s="29"/>
      <c r="O267" s="9"/>
      <c r="P267" s="9"/>
      <c r="Q267" s="9"/>
      <c r="R267" s="9"/>
      <c r="S267" s="76"/>
      <c r="T267" s="8"/>
      <c r="U267" s="1011"/>
      <c r="V267" s="8"/>
      <c r="W267" s="8"/>
      <c r="X267" s="1011"/>
      <c r="Z267" s="143"/>
      <c r="AA267" s="316"/>
      <c r="AB267" s="45"/>
      <c r="AC267" s="8"/>
      <c r="AD267" s="8"/>
      <c r="AE267" s="25"/>
      <c r="AF267" s="1050"/>
      <c r="AG267" s="1039"/>
      <c r="AZ267" s="143"/>
    </row>
    <row r="268" spans="2:52">
      <c r="B268" s="86"/>
      <c r="C268" s="28"/>
      <c r="D268" s="164"/>
      <c r="E268" s="29"/>
      <c r="F268" s="29"/>
      <c r="G268" s="263"/>
      <c r="H268" s="8"/>
      <c r="I268" s="8"/>
      <c r="J268" s="8"/>
      <c r="K268" s="7"/>
      <c r="L268" s="324"/>
      <c r="M268" s="38"/>
      <c r="N268" s="29"/>
      <c r="O268" s="9"/>
      <c r="P268" s="9"/>
      <c r="Q268" s="9"/>
      <c r="R268" s="9"/>
      <c r="S268" s="76"/>
      <c r="T268" s="8"/>
      <c r="U268" s="1011"/>
      <c r="V268" s="8"/>
      <c r="W268" s="8"/>
      <c r="X268" s="1011"/>
      <c r="Z268" s="143"/>
      <c r="AA268" s="316"/>
      <c r="AB268" s="45"/>
      <c r="AC268" s="8"/>
      <c r="AD268" s="8"/>
      <c r="AE268" s="25"/>
      <c r="AF268" s="1050"/>
      <c r="AG268" s="1039"/>
      <c r="AZ268" s="143"/>
    </row>
    <row r="269" spans="2:52">
      <c r="B269" s="86"/>
      <c r="C269" s="28"/>
      <c r="D269" s="164"/>
      <c r="E269" s="29"/>
      <c r="F269" s="29"/>
      <c r="G269" s="263"/>
      <c r="H269" s="8"/>
      <c r="I269" s="8"/>
      <c r="J269" s="8"/>
      <c r="K269" s="7"/>
      <c r="L269" s="324"/>
      <c r="M269" s="38"/>
      <c r="N269" s="29"/>
      <c r="O269" s="9"/>
      <c r="P269" s="9"/>
      <c r="Q269" s="9"/>
      <c r="R269" s="9"/>
      <c r="S269" s="76"/>
      <c r="T269" s="8"/>
      <c r="U269" s="1011"/>
      <c r="V269" s="8"/>
      <c r="W269" s="8"/>
      <c r="X269" s="1011"/>
      <c r="Z269" s="143"/>
      <c r="AA269" s="316"/>
      <c r="AB269" s="45"/>
      <c r="AC269" s="8"/>
      <c r="AD269" s="8"/>
      <c r="AE269" s="25"/>
      <c r="AF269" s="1050"/>
      <c r="AG269" s="1039"/>
      <c r="AZ269" s="143"/>
    </row>
    <row r="270" spans="2:52">
      <c r="B270" s="86"/>
      <c r="C270" s="28"/>
      <c r="D270" s="164"/>
      <c r="E270" s="29"/>
      <c r="F270" s="29"/>
      <c r="G270" s="263"/>
      <c r="H270" s="8"/>
      <c r="I270" s="8"/>
      <c r="J270" s="8"/>
      <c r="K270" s="7"/>
      <c r="L270" s="324"/>
      <c r="M270" s="38"/>
      <c r="N270" s="29"/>
      <c r="O270" s="9"/>
      <c r="P270" s="9"/>
      <c r="Q270" s="9"/>
      <c r="R270" s="9"/>
      <c r="S270" s="76"/>
      <c r="T270" s="8"/>
      <c r="U270" s="1011"/>
      <c r="V270" s="8"/>
      <c r="W270" s="8"/>
      <c r="X270" s="1011"/>
      <c r="Z270" s="143"/>
      <c r="AA270" s="316"/>
      <c r="AB270" s="45"/>
      <c r="AC270" s="8"/>
      <c r="AD270" s="8"/>
      <c r="AE270" s="25"/>
      <c r="AF270" s="1050"/>
      <c r="AG270" s="1039"/>
      <c r="AZ270" s="143"/>
    </row>
    <row r="271" spans="2:52">
      <c r="B271" s="86"/>
      <c r="C271" s="28"/>
      <c r="D271" s="164"/>
      <c r="E271" s="29"/>
      <c r="F271" s="29"/>
      <c r="G271" s="263"/>
      <c r="H271" s="8"/>
      <c r="I271" s="8"/>
      <c r="J271" s="8"/>
      <c r="K271" s="7"/>
      <c r="L271" s="324"/>
      <c r="M271" s="38"/>
      <c r="N271" s="29"/>
      <c r="O271" s="9"/>
      <c r="P271" s="9"/>
      <c r="Q271" s="9"/>
      <c r="R271" s="9"/>
      <c r="S271" s="76"/>
      <c r="T271" s="8"/>
      <c r="U271" s="1011"/>
      <c r="V271" s="8"/>
      <c r="W271" s="8"/>
      <c r="X271" s="1011"/>
      <c r="Z271" s="143"/>
      <c r="AA271" s="316"/>
      <c r="AB271" s="45"/>
      <c r="AC271" s="8"/>
      <c r="AD271" s="8"/>
      <c r="AE271" s="25"/>
      <c r="AF271" s="1050"/>
      <c r="AG271" s="1039"/>
      <c r="AZ271" s="143"/>
    </row>
    <row r="272" spans="2:52">
      <c r="B272" s="86"/>
      <c r="C272" s="28"/>
      <c r="D272" s="164"/>
      <c r="E272" s="29"/>
      <c r="F272" s="29"/>
      <c r="G272" s="263"/>
      <c r="H272" s="8"/>
      <c r="I272" s="8"/>
      <c r="J272" s="8"/>
      <c r="K272" s="7"/>
      <c r="L272" s="324"/>
      <c r="M272" s="38"/>
      <c r="N272" s="29"/>
      <c r="O272" s="9"/>
      <c r="P272" s="9"/>
      <c r="Q272" s="9"/>
      <c r="R272" s="9"/>
      <c r="S272" s="76"/>
      <c r="T272" s="8"/>
      <c r="U272" s="1011"/>
      <c r="V272" s="8"/>
      <c r="W272" s="8"/>
      <c r="X272" s="1011"/>
      <c r="Z272" s="143"/>
      <c r="AA272" s="316"/>
      <c r="AB272" s="45"/>
      <c r="AC272" s="8"/>
      <c r="AD272" s="8"/>
      <c r="AE272" s="25"/>
      <c r="AF272" s="1050"/>
      <c r="AG272" s="1039"/>
      <c r="AZ272" s="143"/>
    </row>
    <row r="273" spans="2:52">
      <c r="B273" s="86"/>
      <c r="C273" s="28"/>
      <c r="D273" s="164"/>
      <c r="E273" s="29"/>
      <c r="F273" s="29"/>
      <c r="G273" s="263"/>
      <c r="H273" s="8"/>
      <c r="I273" s="8"/>
      <c r="J273" s="8"/>
      <c r="K273" s="7"/>
      <c r="L273" s="324"/>
      <c r="M273" s="38"/>
      <c r="N273" s="29"/>
      <c r="O273" s="9"/>
      <c r="P273" s="9"/>
      <c r="Q273" s="9"/>
      <c r="R273" s="9"/>
      <c r="S273" s="76"/>
      <c r="T273" s="8"/>
      <c r="U273" s="1011"/>
      <c r="V273" s="8"/>
      <c r="W273" s="8"/>
      <c r="X273" s="1011"/>
      <c r="Z273" s="143"/>
      <c r="AA273" s="316"/>
      <c r="AB273" s="45"/>
      <c r="AC273" s="8"/>
      <c r="AD273" s="8"/>
      <c r="AE273" s="25"/>
      <c r="AF273" s="1050"/>
      <c r="AG273" s="1039"/>
      <c r="AZ273" s="143"/>
    </row>
    <row r="274" spans="2:52">
      <c r="B274" s="86"/>
      <c r="C274" s="28"/>
      <c r="D274" s="164"/>
      <c r="E274" s="29"/>
      <c r="F274" s="29"/>
      <c r="G274" s="263"/>
      <c r="H274" s="8"/>
      <c r="I274" s="8"/>
      <c r="J274" s="8"/>
      <c r="K274" s="7"/>
      <c r="L274" s="324"/>
      <c r="M274" s="38"/>
      <c r="N274" s="29"/>
      <c r="O274" s="9"/>
      <c r="P274" s="9"/>
      <c r="Q274" s="9"/>
      <c r="R274" s="9"/>
      <c r="S274" s="76"/>
      <c r="T274" s="8"/>
      <c r="U274" s="1011"/>
      <c r="V274" s="8"/>
      <c r="W274" s="8"/>
      <c r="X274" s="1011"/>
      <c r="Z274" s="143"/>
      <c r="AA274" s="316"/>
      <c r="AB274" s="45"/>
      <c r="AC274" s="8"/>
      <c r="AD274" s="8"/>
      <c r="AE274" s="25"/>
      <c r="AF274" s="1050"/>
      <c r="AG274" s="1039"/>
      <c r="AZ274" s="143"/>
    </row>
    <row r="275" spans="2:52">
      <c r="B275" s="86"/>
      <c r="C275" s="28"/>
      <c r="D275" s="164"/>
      <c r="E275" s="29"/>
      <c r="F275" s="29"/>
      <c r="G275" s="263"/>
      <c r="H275" s="8"/>
      <c r="I275" s="8"/>
      <c r="J275" s="8"/>
      <c r="K275" s="7"/>
      <c r="L275" s="324"/>
      <c r="M275" s="38"/>
      <c r="N275" s="29"/>
      <c r="O275" s="9"/>
      <c r="P275" s="9"/>
      <c r="Q275" s="9"/>
      <c r="R275" s="9"/>
      <c r="S275" s="76"/>
      <c r="T275" s="8"/>
      <c r="U275" s="1011"/>
      <c r="V275" s="8"/>
      <c r="W275" s="8"/>
      <c r="X275" s="1011"/>
      <c r="Z275" s="143"/>
      <c r="AA275" s="316"/>
      <c r="AB275" s="45"/>
      <c r="AC275" s="8"/>
      <c r="AD275" s="8"/>
      <c r="AE275" s="25"/>
      <c r="AF275" s="1050"/>
      <c r="AG275" s="1039"/>
      <c r="AZ275" s="143"/>
    </row>
    <row r="276" spans="2:52">
      <c r="B276" s="86"/>
      <c r="C276" s="28"/>
      <c r="D276" s="164"/>
      <c r="E276" s="29"/>
      <c r="F276" s="29"/>
      <c r="G276" s="263"/>
      <c r="H276" s="8"/>
      <c r="I276" s="8"/>
      <c r="J276" s="8"/>
      <c r="K276" s="7"/>
      <c r="L276" s="324"/>
      <c r="M276" s="38"/>
      <c r="N276" s="29"/>
      <c r="O276" s="9"/>
      <c r="P276" s="9"/>
      <c r="Q276" s="9"/>
      <c r="R276" s="9"/>
      <c r="S276" s="76"/>
      <c r="T276" s="8"/>
      <c r="U276" s="1011"/>
      <c r="V276" s="8"/>
      <c r="W276" s="8"/>
      <c r="X276" s="1011"/>
      <c r="Z276" s="143"/>
      <c r="AA276" s="316"/>
      <c r="AB276" s="45"/>
      <c r="AC276" s="8"/>
      <c r="AD276" s="8"/>
      <c r="AE276" s="25"/>
      <c r="AF276" s="1050"/>
      <c r="AG276" s="1039"/>
      <c r="AZ276" s="143"/>
    </row>
    <row r="277" spans="2:52">
      <c r="B277" s="86"/>
      <c r="C277" s="28"/>
      <c r="D277" s="164"/>
      <c r="E277" s="29"/>
      <c r="F277" s="29"/>
      <c r="G277" s="263"/>
      <c r="H277" s="8"/>
      <c r="I277" s="8"/>
      <c r="J277" s="8"/>
      <c r="K277" s="7"/>
      <c r="L277" s="324"/>
      <c r="M277" s="38"/>
      <c r="N277" s="29"/>
      <c r="O277" s="9"/>
      <c r="P277" s="9"/>
      <c r="Q277" s="9"/>
      <c r="R277" s="9"/>
      <c r="S277" s="76"/>
      <c r="T277" s="8"/>
      <c r="U277" s="1011"/>
      <c r="V277" s="8"/>
      <c r="W277" s="8"/>
      <c r="X277" s="1011"/>
      <c r="Z277" s="143"/>
      <c r="AA277" s="316"/>
      <c r="AB277" s="45"/>
      <c r="AC277" s="8"/>
      <c r="AD277" s="8"/>
      <c r="AE277" s="25"/>
      <c r="AF277" s="1050"/>
      <c r="AG277" s="1039"/>
      <c r="AZ277" s="143"/>
    </row>
    <row r="278" spans="2:52">
      <c r="B278" s="86"/>
      <c r="C278" s="28"/>
      <c r="D278" s="164"/>
      <c r="E278" s="29"/>
      <c r="F278" s="29"/>
      <c r="G278" s="263"/>
      <c r="H278" s="8"/>
      <c r="I278" s="8"/>
      <c r="J278" s="8"/>
      <c r="K278" s="7"/>
      <c r="L278" s="324"/>
      <c r="M278" s="38"/>
      <c r="N278" s="29"/>
      <c r="O278" s="9"/>
      <c r="P278" s="9"/>
      <c r="Q278" s="9"/>
      <c r="R278" s="9"/>
      <c r="S278" s="76"/>
      <c r="T278" s="8"/>
      <c r="U278" s="1011"/>
      <c r="V278" s="8"/>
      <c r="W278" s="8"/>
      <c r="X278" s="1011"/>
      <c r="Z278" s="143"/>
      <c r="AA278" s="316"/>
      <c r="AB278" s="45"/>
      <c r="AC278" s="8"/>
      <c r="AD278" s="8"/>
      <c r="AE278" s="25"/>
      <c r="AF278" s="1050"/>
      <c r="AG278" s="1039"/>
      <c r="AZ278" s="143"/>
    </row>
    <row r="279" spans="2:52">
      <c r="B279" s="86"/>
      <c r="C279" s="28"/>
      <c r="D279" s="164"/>
      <c r="E279" s="29"/>
      <c r="F279" s="29"/>
      <c r="G279" s="263"/>
      <c r="H279" s="8"/>
      <c r="I279" s="8"/>
      <c r="J279" s="8"/>
      <c r="K279" s="7"/>
      <c r="L279" s="324"/>
      <c r="M279" s="38"/>
      <c r="N279" s="29"/>
      <c r="O279" s="9"/>
      <c r="P279" s="9"/>
      <c r="Q279" s="9"/>
      <c r="R279" s="9"/>
      <c r="S279" s="76"/>
      <c r="T279" s="8"/>
      <c r="U279" s="1011"/>
      <c r="V279" s="8"/>
      <c r="W279" s="8"/>
      <c r="X279" s="1011"/>
      <c r="Z279" s="143"/>
      <c r="AA279" s="316"/>
      <c r="AB279" s="45"/>
      <c r="AC279" s="8"/>
      <c r="AD279" s="8"/>
      <c r="AE279" s="25"/>
      <c r="AF279" s="1050"/>
      <c r="AG279" s="1039"/>
      <c r="AZ279" s="143"/>
    </row>
    <row r="280" spans="2:52">
      <c r="B280" s="86"/>
      <c r="C280" s="28"/>
      <c r="D280" s="164"/>
      <c r="E280" s="29"/>
      <c r="F280" s="29"/>
      <c r="G280" s="263"/>
      <c r="H280" s="8"/>
      <c r="I280" s="8"/>
      <c r="J280" s="8"/>
      <c r="K280" s="7"/>
      <c r="L280" s="324"/>
      <c r="M280" s="38"/>
      <c r="N280" s="29"/>
      <c r="O280" s="9"/>
      <c r="P280" s="9"/>
      <c r="Q280" s="9"/>
      <c r="R280" s="9"/>
      <c r="S280" s="76"/>
      <c r="T280" s="8"/>
      <c r="U280" s="1011"/>
      <c r="V280" s="8"/>
      <c r="W280" s="8"/>
      <c r="X280" s="1011"/>
      <c r="Z280" s="143"/>
      <c r="AA280" s="316"/>
      <c r="AB280" s="45"/>
      <c r="AC280" s="8"/>
      <c r="AD280" s="8"/>
      <c r="AE280" s="25"/>
      <c r="AF280" s="1050"/>
      <c r="AG280" s="1039"/>
      <c r="AZ280" s="143"/>
    </row>
    <row r="281" spans="2:52">
      <c r="B281" s="86"/>
      <c r="C281" s="28"/>
      <c r="D281" s="164"/>
      <c r="E281" s="29"/>
      <c r="F281" s="29"/>
      <c r="G281" s="263"/>
      <c r="H281" s="8"/>
      <c r="I281" s="8"/>
      <c r="J281" s="8"/>
      <c r="K281" s="7"/>
      <c r="L281" s="324"/>
      <c r="M281" s="38"/>
      <c r="N281" s="29"/>
      <c r="O281" s="9"/>
      <c r="P281" s="9"/>
      <c r="Q281" s="9"/>
      <c r="R281" s="9"/>
      <c r="S281" s="76"/>
      <c r="T281" s="8"/>
      <c r="U281" s="1011"/>
      <c r="V281" s="8"/>
      <c r="W281" s="8"/>
      <c r="X281" s="1011"/>
      <c r="Z281" s="143"/>
      <c r="AA281" s="316"/>
      <c r="AB281" s="45"/>
      <c r="AC281" s="8"/>
      <c r="AD281" s="8"/>
      <c r="AE281" s="25"/>
      <c r="AF281" s="1050"/>
      <c r="AG281" s="1039"/>
      <c r="AZ281" s="143"/>
    </row>
    <row r="282" spans="2:52">
      <c r="B282" s="86"/>
      <c r="C282" s="28"/>
      <c r="D282" s="164"/>
      <c r="E282" s="29"/>
      <c r="F282" s="29"/>
      <c r="G282" s="263"/>
      <c r="H282" s="8"/>
      <c r="I282" s="8"/>
      <c r="J282" s="8"/>
      <c r="K282" s="7"/>
      <c r="L282" s="324"/>
      <c r="M282" s="38"/>
      <c r="N282" s="29"/>
      <c r="O282" s="9"/>
      <c r="P282" s="9"/>
      <c r="Q282" s="9"/>
      <c r="R282" s="9"/>
      <c r="S282" s="76"/>
      <c r="T282" s="8"/>
      <c r="U282" s="1011"/>
      <c r="V282" s="8"/>
      <c r="W282" s="8"/>
      <c r="X282" s="1011"/>
      <c r="Z282" s="143"/>
      <c r="AA282" s="316"/>
      <c r="AB282" s="45"/>
      <c r="AC282" s="8"/>
      <c r="AD282" s="8"/>
      <c r="AE282" s="25"/>
      <c r="AF282" s="1050"/>
      <c r="AG282" s="1039"/>
      <c r="AZ282" s="143"/>
    </row>
    <row r="283" spans="2:52">
      <c r="B283" s="86"/>
      <c r="C283" s="28"/>
      <c r="D283" s="164"/>
      <c r="E283" s="29"/>
      <c r="F283" s="29"/>
      <c r="G283" s="263"/>
      <c r="H283" s="8"/>
      <c r="I283" s="8"/>
      <c r="J283" s="8"/>
      <c r="K283" s="7"/>
      <c r="L283" s="324"/>
      <c r="M283" s="38"/>
      <c r="N283" s="29"/>
      <c r="O283" s="9"/>
      <c r="P283" s="9"/>
      <c r="Q283" s="9"/>
      <c r="R283" s="9"/>
      <c r="S283" s="76"/>
      <c r="T283" s="8"/>
      <c r="U283" s="1011"/>
      <c r="V283" s="8"/>
      <c r="W283" s="8"/>
      <c r="X283" s="1011"/>
      <c r="Z283" s="143"/>
      <c r="AA283" s="316"/>
      <c r="AB283" s="45"/>
      <c r="AC283" s="8"/>
      <c r="AD283" s="8"/>
      <c r="AE283" s="25"/>
      <c r="AF283" s="1050"/>
      <c r="AG283" s="1039"/>
      <c r="AZ283" s="143"/>
    </row>
    <row r="284" spans="2:52">
      <c r="B284" s="86"/>
      <c r="C284" s="28"/>
      <c r="D284" s="164"/>
      <c r="E284" s="29"/>
      <c r="F284" s="29"/>
      <c r="G284" s="263"/>
      <c r="H284" s="8"/>
      <c r="I284" s="8"/>
      <c r="J284" s="8"/>
      <c r="K284" s="7"/>
      <c r="L284" s="324"/>
      <c r="M284" s="38"/>
      <c r="N284" s="29"/>
      <c r="O284" s="9"/>
      <c r="P284" s="9"/>
      <c r="Q284" s="9"/>
      <c r="R284" s="9"/>
      <c r="S284" s="76"/>
      <c r="T284" s="8"/>
      <c r="U284" s="1011"/>
      <c r="V284" s="8"/>
      <c r="W284" s="8"/>
      <c r="X284" s="1011"/>
      <c r="Z284" s="143"/>
      <c r="AA284" s="316"/>
      <c r="AB284" s="45"/>
      <c r="AC284" s="8"/>
      <c r="AD284" s="8"/>
      <c r="AE284" s="25"/>
      <c r="AF284" s="1050"/>
      <c r="AG284" s="1039"/>
      <c r="AZ284" s="143"/>
    </row>
    <row r="285" spans="2:52">
      <c r="B285" s="86"/>
      <c r="C285" s="28"/>
      <c r="D285" s="164"/>
      <c r="E285" s="29"/>
      <c r="F285" s="29"/>
      <c r="G285" s="263"/>
      <c r="H285" s="8"/>
      <c r="I285" s="8"/>
      <c r="J285" s="8"/>
      <c r="K285" s="7"/>
      <c r="L285" s="324"/>
      <c r="M285" s="38"/>
      <c r="N285" s="29"/>
      <c r="O285" s="9"/>
      <c r="P285" s="9"/>
      <c r="Q285" s="9"/>
      <c r="R285" s="9"/>
      <c r="S285" s="76"/>
      <c r="T285" s="8"/>
      <c r="U285" s="1011"/>
      <c r="V285" s="8"/>
      <c r="W285" s="8"/>
      <c r="X285" s="1011"/>
      <c r="Z285" s="143"/>
      <c r="AA285" s="316"/>
      <c r="AB285" s="45"/>
      <c r="AC285" s="8"/>
      <c r="AD285" s="8"/>
      <c r="AE285" s="25"/>
      <c r="AF285" s="1050"/>
      <c r="AG285" s="1039"/>
      <c r="AZ285" s="143"/>
    </row>
    <row r="286" spans="2:52">
      <c r="B286" s="86"/>
      <c r="C286" s="28"/>
      <c r="D286" s="164"/>
      <c r="E286" s="29"/>
      <c r="F286" s="29"/>
      <c r="G286" s="263"/>
      <c r="H286" s="8"/>
      <c r="I286" s="8"/>
      <c r="J286" s="8"/>
      <c r="K286" s="7"/>
      <c r="L286" s="324"/>
      <c r="M286" s="38"/>
      <c r="N286" s="29"/>
      <c r="O286" s="9"/>
      <c r="P286" s="9"/>
      <c r="Q286" s="9"/>
      <c r="R286" s="9"/>
      <c r="S286" s="76"/>
      <c r="T286" s="8"/>
      <c r="U286" s="1011"/>
      <c r="V286" s="8"/>
      <c r="W286" s="8"/>
      <c r="X286" s="1011"/>
      <c r="Z286" s="143"/>
      <c r="AA286" s="316"/>
      <c r="AB286" s="45"/>
      <c r="AC286" s="8"/>
      <c r="AD286" s="8"/>
      <c r="AE286" s="25"/>
      <c r="AF286" s="1050"/>
      <c r="AG286" s="1039"/>
      <c r="AZ286" s="143"/>
    </row>
    <row r="287" spans="2:52">
      <c r="B287" s="86"/>
      <c r="C287" s="28"/>
      <c r="D287" s="164"/>
      <c r="E287" s="29"/>
      <c r="F287" s="29"/>
      <c r="G287" s="263"/>
      <c r="H287" s="8"/>
      <c r="I287" s="8"/>
      <c r="J287" s="8"/>
      <c r="K287" s="7"/>
      <c r="L287" s="324"/>
      <c r="M287" s="38"/>
      <c r="N287" s="29"/>
      <c r="O287" s="9"/>
      <c r="P287" s="9"/>
      <c r="Q287" s="9"/>
      <c r="R287" s="9"/>
      <c r="S287" s="76"/>
      <c r="T287" s="8"/>
      <c r="U287" s="1011"/>
      <c r="V287" s="8"/>
      <c r="W287" s="8"/>
      <c r="X287" s="1011"/>
      <c r="Z287" s="143"/>
      <c r="AA287" s="316"/>
      <c r="AB287" s="45"/>
      <c r="AC287" s="8"/>
      <c r="AD287" s="8"/>
      <c r="AE287" s="25"/>
      <c r="AF287" s="1050"/>
      <c r="AG287" s="1039"/>
      <c r="AZ287" s="143"/>
    </row>
    <row r="288" spans="2:52">
      <c r="B288" s="86"/>
      <c r="C288" s="28"/>
      <c r="D288" s="164"/>
      <c r="E288" s="29"/>
      <c r="F288" s="29"/>
      <c r="G288" s="263"/>
      <c r="H288" s="8"/>
      <c r="I288" s="8"/>
      <c r="J288" s="8"/>
      <c r="K288" s="7"/>
      <c r="L288" s="324"/>
      <c r="M288" s="38"/>
      <c r="N288" s="29"/>
      <c r="O288" s="9"/>
      <c r="P288" s="9"/>
      <c r="Q288" s="9"/>
      <c r="R288" s="9"/>
      <c r="S288" s="76"/>
      <c r="T288" s="8"/>
      <c r="U288" s="1011"/>
      <c r="V288" s="8"/>
      <c r="W288" s="8"/>
      <c r="X288" s="1011"/>
      <c r="Z288" s="143"/>
      <c r="AA288" s="316"/>
      <c r="AB288" s="45"/>
      <c r="AC288" s="8"/>
      <c r="AD288" s="8"/>
      <c r="AE288" s="25"/>
      <c r="AF288" s="1050"/>
      <c r="AG288" s="1039"/>
      <c r="AZ288" s="143"/>
    </row>
    <row r="289" spans="2:52">
      <c r="B289" s="86"/>
      <c r="C289" s="28"/>
      <c r="D289" s="164"/>
      <c r="E289" s="29"/>
      <c r="F289" s="29"/>
      <c r="G289" s="263"/>
      <c r="H289" s="8"/>
      <c r="I289" s="8"/>
      <c r="J289" s="8"/>
      <c r="K289" s="7"/>
      <c r="L289" s="324"/>
      <c r="M289" s="38"/>
      <c r="N289" s="29"/>
      <c r="O289" s="9"/>
      <c r="P289" s="9"/>
      <c r="Q289" s="9"/>
      <c r="R289" s="9"/>
      <c r="S289" s="76"/>
      <c r="T289" s="8"/>
      <c r="U289" s="1011"/>
      <c r="V289" s="8"/>
      <c r="W289" s="8"/>
      <c r="X289" s="1011"/>
      <c r="Z289" s="143"/>
      <c r="AA289" s="316"/>
      <c r="AB289" s="45"/>
      <c r="AC289" s="8"/>
      <c r="AD289" s="8"/>
      <c r="AE289" s="25"/>
      <c r="AF289" s="1050"/>
      <c r="AG289" s="1039"/>
      <c r="AZ289" s="143"/>
    </row>
    <row r="290" spans="2:52">
      <c r="B290" s="86"/>
      <c r="C290" s="28"/>
      <c r="D290" s="164"/>
      <c r="E290" s="29"/>
      <c r="F290" s="29"/>
      <c r="G290" s="263"/>
      <c r="H290" s="8"/>
      <c r="I290" s="8"/>
      <c r="J290" s="8"/>
      <c r="K290" s="7"/>
      <c r="L290" s="324"/>
      <c r="M290" s="38"/>
      <c r="N290" s="29"/>
      <c r="O290" s="9"/>
      <c r="P290" s="9"/>
      <c r="Q290" s="9"/>
      <c r="R290" s="9"/>
      <c r="S290" s="76"/>
      <c r="T290" s="8"/>
      <c r="U290" s="1011"/>
      <c r="V290" s="8"/>
      <c r="W290" s="8"/>
      <c r="X290" s="1011"/>
      <c r="Z290" s="143"/>
      <c r="AA290" s="316"/>
      <c r="AB290" s="45"/>
      <c r="AC290" s="8"/>
      <c r="AD290" s="8"/>
      <c r="AE290" s="25"/>
      <c r="AF290" s="1050"/>
      <c r="AG290" s="1039"/>
      <c r="AZ290" s="143"/>
    </row>
    <row r="291" spans="2:52">
      <c r="B291" s="86"/>
      <c r="C291" s="28"/>
      <c r="D291" s="164"/>
      <c r="E291" s="29"/>
      <c r="F291" s="29"/>
      <c r="G291" s="263"/>
      <c r="H291" s="8"/>
      <c r="I291" s="8"/>
      <c r="J291" s="8"/>
      <c r="K291" s="7"/>
      <c r="L291" s="324"/>
      <c r="M291" s="38"/>
      <c r="N291" s="29"/>
      <c r="O291" s="9"/>
      <c r="P291" s="9"/>
      <c r="Q291" s="9"/>
      <c r="R291" s="9"/>
      <c r="S291" s="76"/>
      <c r="T291" s="8"/>
      <c r="U291" s="1011"/>
      <c r="V291" s="8"/>
      <c r="W291" s="8"/>
      <c r="X291" s="1011"/>
      <c r="Z291" s="143"/>
      <c r="AA291" s="316"/>
      <c r="AB291" s="45"/>
      <c r="AC291" s="8"/>
      <c r="AD291" s="8"/>
      <c r="AE291" s="25"/>
      <c r="AF291" s="1050"/>
      <c r="AG291" s="1039"/>
      <c r="AZ291" s="143"/>
    </row>
    <row r="292" spans="2:52">
      <c r="B292" s="86"/>
      <c r="C292" s="28"/>
      <c r="D292" s="164"/>
      <c r="E292" s="29"/>
      <c r="F292" s="29"/>
      <c r="G292" s="263"/>
      <c r="H292" s="8"/>
      <c r="I292" s="8"/>
      <c r="J292" s="8"/>
      <c r="K292" s="7"/>
      <c r="L292" s="324"/>
      <c r="M292" s="38"/>
      <c r="N292" s="29"/>
      <c r="O292" s="9"/>
      <c r="P292" s="9"/>
      <c r="Q292" s="9"/>
      <c r="R292" s="9"/>
      <c r="S292" s="76"/>
      <c r="T292" s="8"/>
      <c r="U292" s="1011"/>
      <c r="V292" s="8"/>
      <c r="W292" s="8"/>
      <c r="X292" s="1011"/>
      <c r="Z292" s="143"/>
      <c r="AA292" s="316"/>
      <c r="AB292" s="45"/>
      <c r="AC292" s="8"/>
      <c r="AD292" s="8"/>
      <c r="AE292" s="25"/>
      <c r="AF292" s="1050"/>
      <c r="AG292" s="1039"/>
      <c r="AZ292" s="143"/>
    </row>
    <row r="293" spans="2:52">
      <c r="B293" s="86"/>
      <c r="C293" s="28"/>
      <c r="D293" s="164"/>
      <c r="E293" s="29"/>
      <c r="F293" s="29"/>
      <c r="G293" s="263"/>
      <c r="H293" s="8"/>
      <c r="I293" s="8"/>
      <c r="J293" s="8"/>
      <c r="K293" s="7"/>
      <c r="L293" s="324"/>
      <c r="M293" s="38"/>
      <c r="N293" s="29"/>
      <c r="O293" s="9"/>
      <c r="P293" s="9"/>
      <c r="Q293" s="9"/>
      <c r="R293" s="9"/>
      <c r="S293" s="76"/>
      <c r="T293" s="8"/>
      <c r="U293" s="1011"/>
      <c r="V293" s="8"/>
      <c r="W293" s="8"/>
      <c r="X293" s="1011"/>
      <c r="Z293" s="143"/>
      <c r="AA293" s="316"/>
      <c r="AB293" s="45"/>
      <c r="AC293" s="8"/>
      <c r="AD293" s="8"/>
      <c r="AE293" s="25"/>
      <c r="AF293" s="1050"/>
      <c r="AG293" s="1039"/>
      <c r="AZ293" s="143"/>
    </row>
    <row r="294" spans="2:52">
      <c r="B294" s="86"/>
      <c r="C294" s="28"/>
      <c r="D294" s="164"/>
      <c r="E294" s="29"/>
      <c r="F294" s="29"/>
      <c r="G294" s="263"/>
      <c r="H294" s="8"/>
      <c r="I294" s="8"/>
      <c r="J294" s="8"/>
      <c r="K294" s="7"/>
      <c r="L294" s="324"/>
      <c r="M294" s="38"/>
      <c r="N294" s="29"/>
      <c r="O294" s="9"/>
      <c r="P294" s="9"/>
      <c r="Q294" s="9"/>
      <c r="R294" s="9"/>
      <c r="S294" s="76"/>
      <c r="T294" s="8"/>
      <c r="U294" s="1011"/>
      <c r="V294" s="8"/>
      <c r="W294" s="8"/>
      <c r="X294" s="1011"/>
      <c r="Z294" s="143"/>
      <c r="AA294" s="316"/>
      <c r="AB294" s="45"/>
      <c r="AC294" s="8"/>
      <c r="AD294" s="8"/>
      <c r="AE294" s="25"/>
      <c r="AF294" s="1050"/>
      <c r="AG294" s="1039"/>
      <c r="AZ294" s="143"/>
    </row>
    <row r="295" spans="2:52">
      <c r="B295" s="86"/>
      <c r="C295" s="28"/>
      <c r="D295" s="164"/>
      <c r="E295" s="29"/>
      <c r="F295" s="29"/>
      <c r="G295" s="263"/>
      <c r="H295" s="8"/>
      <c r="I295" s="8"/>
      <c r="J295" s="8"/>
      <c r="K295" s="7"/>
      <c r="L295" s="324"/>
      <c r="M295" s="38"/>
      <c r="N295" s="29"/>
      <c r="O295" s="9"/>
      <c r="P295" s="9"/>
      <c r="Q295" s="9"/>
      <c r="R295" s="9"/>
      <c r="S295" s="76"/>
      <c r="T295" s="8"/>
      <c r="U295" s="1011"/>
      <c r="V295" s="8"/>
      <c r="W295" s="8"/>
      <c r="X295" s="1011"/>
      <c r="Z295" s="143"/>
      <c r="AA295" s="316"/>
      <c r="AB295" s="45"/>
      <c r="AC295" s="8"/>
      <c r="AD295" s="8"/>
      <c r="AE295" s="25"/>
      <c r="AF295" s="1050"/>
      <c r="AG295" s="1039"/>
      <c r="AZ295" s="143"/>
    </row>
    <row r="296" spans="2:52">
      <c r="B296" s="86"/>
      <c r="C296" s="28"/>
      <c r="D296" s="164"/>
      <c r="E296" s="29"/>
      <c r="F296" s="29"/>
      <c r="G296" s="263"/>
      <c r="H296" s="8"/>
      <c r="I296" s="8"/>
      <c r="J296" s="8"/>
      <c r="K296" s="7"/>
      <c r="L296" s="324"/>
      <c r="M296" s="38"/>
      <c r="N296" s="29"/>
      <c r="O296" s="9"/>
      <c r="P296" s="9"/>
      <c r="Q296" s="9"/>
      <c r="R296" s="9"/>
      <c r="S296" s="76"/>
      <c r="T296" s="8"/>
      <c r="U296" s="1011"/>
      <c r="V296" s="8"/>
      <c r="W296" s="8"/>
      <c r="X296" s="1011"/>
      <c r="Z296" s="143"/>
      <c r="AA296" s="316"/>
      <c r="AB296" s="45"/>
      <c r="AC296" s="8"/>
      <c r="AD296" s="8"/>
      <c r="AE296" s="25"/>
      <c r="AF296" s="1050"/>
      <c r="AG296" s="1039"/>
      <c r="AZ296" s="143"/>
    </row>
    <row r="297" spans="2:52">
      <c r="B297" s="86"/>
      <c r="C297" s="28"/>
      <c r="D297" s="164"/>
      <c r="E297" s="29"/>
      <c r="F297" s="29"/>
      <c r="G297" s="263"/>
      <c r="H297" s="8"/>
      <c r="I297" s="8"/>
      <c r="J297" s="8"/>
      <c r="K297" s="7"/>
      <c r="L297" s="324"/>
      <c r="M297" s="38"/>
      <c r="N297" s="29"/>
      <c r="O297" s="9"/>
      <c r="P297" s="9"/>
      <c r="Q297" s="9"/>
      <c r="R297" s="9"/>
      <c r="S297" s="76"/>
      <c r="T297" s="8"/>
      <c r="U297" s="1011"/>
      <c r="V297" s="8"/>
      <c r="W297" s="8"/>
      <c r="X297" s="1011"/>
      <c r="Z297" s="143"/>
      <c r="AA297" s="316"/>
      <c r="AB297" s="45"/>
      <c r="AC297" s="8"/>
      <c r="AD297" s="8"/>
      <c r="AE297" s="25"/>
      <c r="AF297" s="1050"/>
      <c r="AG297" s="1039"/>
      <c r="AZ297" s="143"/>
    </row>
    <row r="298" spans="2:52">
      <c r="B298" s="86"/>
      <c r="C298" s="28"/>
      <c r="D298" s="164"/>
      <c r="E298" s="29"/>
      <c r="F298" s="29"/>
      <c r="G298" s="263"/>
      <c r="H298" s="8"/>
      <c r="I298" s="8"/>
      <c r="J298" s="8"/>
      <c r="K298" s="7"/>
      <c r="L298" s="324"/>
      <c r="M298" s="38"/>
      <c r="N298" s="29"/>
      <c r="O298" s="9"/>
      <c r="P298" s="9"/>
      <c r="Q298" s="9"/>
      <c r="R298" s="9"/>
      <c r="S298" s="76"/>
      <c r="T298" s="8"/>
      <c r="U298" s="1011"/>
      <c r="V298" s="8"/>
      <c r="W298" s="8"/>
      <c r="X298" s="1011"/>
      <c r="Z298" s="143"/>
      <c r="AA298" s="316"/>
      <c r="AB298" s="45"/>
      <c r="AC298" s="8"/>
      <c r="AD298" s="8"/>
      <c r="AE298" s="25"/>
      <c r="AF298" s="1050"/>
      <c r="AG298" s="1039"/>
      <c r="AZ298" s="143"/>
    </row>
    <row r="299" spans="2:52">
      <c r="B299" s="86"/>
      <c r="C299" s="28"/>
      <c r="D299" s="164"/>
      <c r="E299" s="29"/>
      <c r="F299" s="29"/>
      <c r="G299" s="263"/>
      <c r="H299" s="8"/>
      <c r="I299" s="8"/>
      <c r="J299" s="8"/>
      <c r="K299" s="7"/>
      <c r="L299" s="324"/>
      <c r="M299" s="38"/>
      <c r="N299" s="29"/>
      <c r="O299" s="9"/>
      <c r="P299" s="9"/>
      <c r="Q299" s="9"/>
      <c r="R299" s="9"/>
      <c r="S299" s="76"/>
      <c r="T299" s="8"/>
      <c r="U299" s="1011"/>
      <c r="V299" s="8"/>
      <c r="W299" s="8"/>
      <c r="X299" s="1011"/>
      <c r="Z299" s="143"/>
      <c r="AA299" s="316"/>
      <c r="AB299" s="45"/>
      <c r="AC299" s="8"/>
      <c r="AD299" s="8"/>
      <c r="AE299" s="25"/>
      <c r="AF299" s="1050"/>
      <c r="AG299" s="1039"/>
      <c r="AZ299" s="143"/>
    </row>
    <row r="300" spans="2:52">
      <c r="B300" s="86"/>
      <c r="C300" s="28"/>
      <c r="D300" s="164"/>
      <c r="E300" s="29"/>
      <c r="F300" s="29"/>
      <c r="G300" s="263"/>
      <c r="H300" s="8"/>
      <c r="I300" s="8"/>
      <c r="J300" s="8"/>
      <c r="K300" s="7"/>
      <c r="L300" s="324"/>
      <c r="M300" s="38"/>
      <c r="N300" s="29"/>
      <c r="O300" s="9"/>
      <c r="P300" s="9"/>
      <c r="Q300" s="9"/>
      <c r="R300" s="9"/>
      <c r="S300" s="76"/>
      <c r="T300" s="8"/>
      <c r="U300" s="1011"/>
      <c r="V300" s="8"/>
      <c r="W300" s="8"/>
      <c r="X300" s="1011"/>
      <c r="Z300" s="143"/>
      <c r="AA300" s="316"/>
      <c r="AB300" s="45"/>
      <c r="AC300" s="8"/>
      <c r="AD300" s="8"/>
      <c r="AE300" s="25"/>
      <c r="AF300" s="1050"/>
      <c r="AG300" s="1039"/>
      <c r="AZ300" s="143"/>
    </row>
    <row r="301" spans="2:52">
      <c r="B301" s="86"/>
      <c r="C301" s="28"/>
      <c r="D301" s="164"/>
      <c r="E301" s="29"/>
      <c r="F301" s="29"/>
      <c r="G301" s="263"/>
      <c r="H301" s="8"/>
      <c r="I301" s="8"/>
      <c r="J301" s="8"/>
      <c r="K301" s="7"/>
      <c r="L301" s="324"/>
      <c r="M301" s="38"/>
      <c r="N301" s="29"/>
      <c r="O301" s="9"/>
      <c r="P301" s="9"/>
      <c r="Q301" s="9"/>
      <c r="R301" s="9"/>
      <c r="S301" s="76"/>
      <c r="T301" s="8"/>
      <c r="U301" s="1011"/>
      <c r="V301" s="8"/>
      <c r="W301" s="8"/>
      <c r="X301" s="1011"/>
      <c r="Z301" s="143"/>
      <c r="AA301" s="316"/>
      <c r="AB301" s="45"/>
      <c r="AC301" s="8"/>
      <c r="AD301" s="8"/>
      <c r="AE301" s="25"/>
      <c r="AF301" s="1050"/>
      <c r="AG301" s="1039"/>
      <c r="AZ301" s="143"/>
    </row>
    <row r="302" spans="2:52">
      <c r="B302" s="86"/>
      <c r="C302" s="28"/>
      <c r="D302" s="164"/>
      <c r="E302" s="29"/>
      <c r="F302" s="29"/>
      <c r="G302" s="263"/>
      <c r="H302" s="8"/>
      <c r="I302" s="8"/>
      <c r="J302" s="8"/>
      <c r="K302" s="7"/>
      <c r="L302" s="324"/>
      <c r="M302" s="38"/>
      <c r="N302" s="29"/>
      <c r="O302" s="9"/>
      <c r="P302" s="9"/>
      <c r="Q302" s="9"/>
      <c r="R302" s="9"/>
      <c r="S302" s="76"/>
      <c r="T302" s="8"/>
      <c r="U302" s="1011"/>
      <c r="V302" s="8"/>
      <c r="W302" s="8"/>
      <c r="X302" s="1011"/>
      <c r="Z302" s="143"/>
      <c r="AA302" s="316"/>
      <c r="AB302" s="45"/>
      <c r="AC302" s="8"/>
      <c r="AD302" s="8"/>
      <c r="AE302" s="25"/>
      <c r="AF302" s="1050"/>
      <c r="AG302" s="1039"/>
      <c r="AZ302" s="143"/>
    </row>
    <row r="303" spans="2:52">
      <c r="B303" s="86"/>
      <c r="C303" s="28"/>
      <c r="D303" s="164"/>
      <c r="E303" s="29"/>
      <c r="F303" s="29"/>
      <c r="G303" s="263"/>
      <c r="H303" s="8"/>
      <c r="I303" s="8"/>
      <c r="J303" s="8"/>
      <c r="K303" s="7"/>
      <c r="L303" s="324"/>
      <c r="M303" s="38"/>
      <c r="N303" s="29"/>
      <c r="O303" s="9"/>
      <c r="P303" s="9"/>
      <c r="Q303" s="9"/>
      <c r="R303" s="9"/>
      <c r="S303" s="76"/>
      <c r="T303" s="8"/>
      <c r="U303" s="1011"/>
      <c r="V303" s="8"/>
      <c r="W303" s="8"/>
      <c r="X303" s="1011"/>
      <c r="Z303" s="143"/>
      <c r="AA303" s="316"/>
      <c r="AB303" s="45"/>
      <c r="AC303" s="8"/>
      <c r="AD303" s="8"/>
      <c r="AE303" s="25"/>
      <c r="AF303" s="1050"/>
      <c r="AG303" s="1039"/>
      <c r="AZ303" s="143"/>
    </row>
    <row r="304" spans="2:52">
      <c r="B304" s="86"/>
      <c r="C304" s="28"/>
      <c r="D304" s="164"/>
      <c r="E304" s="29"/>
      <c r="F304" s="29"/>
      <c r="G304" s="263"/>
      <c r="H304" s="8"/>
      <c r="I304" s="8"/>
      <c r="J304" s="8"/>
      <c r="K304" s="7"/>
      <c r="L304" s="324"/>
      <c r="M304" s="38"/>
      <c r="N304" s="29"/>
      <c r="O304" s="9"/>
      <c r="P304" s="9"/>
      <c r="Q304" s="9"/>
      <c r="R304" s="9"/>
      <c r="S304" s="76"/>
      <c r="T304" s="8"/>
      <c r="U304" s="1011"/>
      <c r="V304" s="8"/>
      <c r="W304" s="8"/>
      <c r="X304" s="1011"/>
      <c r="Z304" s="143"/>
      <c r="AA304" s="316"/>
      <c r="AB304" s="45"/>
      <c r="AC304" s="8"/>
      <c r="AD304" s="8"/>
      <c r="AE304" s="25"/>
      <c r="AF304" s="1050"/>
      <c r="AG304" s="1039"/>
      <c r="AZ304" s="143"/>
    </row>
    <row r="305" spans="2:52">
      <c r="B305" s="86"/>
      <c r="C305" s="28"/>
      <c r="D305" s="164"/>
      <c r="E305" s="29"/>
      <c r="F305" s="29"/>
      <c r="G305" s="263"/>
      <c r="H305" s="8"/>
      <c r="I305" s="8"/>
      <c r="J305" s="8"/>
      <c r="K305" s="7"/>
      <c r="L305" s="324"/>
      <c r="M305" s="38"/>
      <c r="N305" s="29"/>
      <c r="O305" s="9"/>
      <c r="P305" s="9"/>
      <c r="Q305" s="9"/>
      <c r="R305" s="9"/>
      <c r="S305" s="76"/>
      <c r="T305" s="8"/>
      <c r="U305" s="1011"/>
      <c r="V305" s="8"/>
      <c r="W305" s="8"/>
      <c r="X305" s="1011"/>
      <c r="Z305" s="143"/>
      <c r="AA305" s="316"/>
      <c r="AB305" s="45"/>
      <c r="AC305" s="8"/>
      <c r="AD305" s="8"/>
      <c r="AE305" s="25"/>
      <c r="AF305" s="1050"/>
      <c r="AG305" s="1039"/>
      <c r="AZ305" s="143"/>
    </row>
    <row r="306" spans="2:52">
      <c r="B306" s="86"/>
      <c r="C306" s="28"/>
      <c r="D306" s="164"/>
      <c r="E306" s="29"/>
      <c r="F306" s="29"/>
      <c r="G306" s="263"/>
      <c r="H306" s="8"/>
      <c r="I306" s="8"/>
      <c r="J306" s="8"/>
      <c r="K306" s="7"/>
      <c r="L306" s="324"/>
      <c r="M306" s="38"/>
      <c r="N306" s="29"/>
      <c r="O306" s="9"/>
      <c r="P306" s="9"/>
      <c r="Q306" s="9"/>
      <c r="R306" s="9"/>
      <c r="S306" s="76"/>
      <c r="T306" s="8"/>
      <c r="U306" s="1011"/>
      <c r="V306" s="8"/>
      <c r="W306" s="8"/>
      <c r="X306" s="1011"/>
      <c r="Z306" s="143"/>
      <c r="AA306" s="316"/>
      <c r="AB306" s="45"/>
      <c r="AC306" s="8"/>
      <c r="AD306" s="8"/>
      <c r="AE306" s="25"/>
      <c r="AF306" s="1050"/>
      <c r="AG306" s="1039"/>
      <c r="AZ306" s="143"/>
    </row>
    <row r="307" spans="2:52">
      <c r="B307" s="86"/>
      <c r="C307" s="28"/>
      <c r="D307" s="164"/>
      <c r="E307" s="29"/>
      <c r="F307" s="29"/>
      <c r="G307" s="263"/>
      <c r="H307" s="8"/>
      <c r="I307" s="8"/>
      <c r="J307" s="8"/>
      <c r="K307" s="7"/>
      <c r="L307" s="324"/>
      <c r="M307" s="38"/>
      <c r="N307" s="29"/>
      <c r="O307" s="9"/>
      <c r="P307" s="9"/>
      <c r="Q307" s="9"/>
      <c r="R307" s="9"/>
      <c r="S307" s="76"/>
      <c r="T307" s="8"/>
      <c r="U307" s="1011"/>
      <c r="V307" s="8"/>
      <c r="W307" s="8"/>
      <c r="X307" s="1011"/>
      <c r="Z307" s="143"/>
      <c r="AA307" s="316"/>
      <c r="AB307" s="45"/>
      <c r="AC307" s="8"/>
      <c r="AD307" s="8"/>
      <c r="AE307" s="25"/>
      <c r="AF307" s="1050"/>
      <c r="AG307" s="1039"/>
      <c r="AZ307" s="143"/>
    </row>
    <row r="308" spans="2:52">
      <c r="B308" s="86"/>
      <c r="C308" s="28"/>
      <c r="D308" s="164"/>
      <c r="E308" s="29"/>
      <c r="F308" s="29"/>
      <c r="G308" s="263"/>
      <c r="H308" s="8"/>
      <c r="I308" s="8"/>
      <c r="J308" s="8"/>
      <c r="K308" s="7"/>
      <c r="L308" s="324"/>
      <c r="M308" s="38"/>
      <c r="N308" s="29"/>
      <c r="O308" s="9"/>
      <c r="P308" s="9"/>
      <c r="Q308" s="9"/>
      <c r="R308" s="9"/>
      <c r="S308" s="76"/>
      <c r="T308" s="8"/>
      <c r="U308" s="1011"/>
      <c r="V308" s="8"/>
      <c r="W308" s="8"/>
      <c r="X308" s="1011"/>
      <c r="Z308" s="143"/>
      <c r="AA308" s="316"/>
      <c r="AB308" s="45"/>
      <c r="AC308" s="8"/>
      <c r="AD308" s="8"/>
      <c r="AE308" s="25"/>
      <c r="AF308" s="1050"/>
      <c r="AG308" s="1039"/>
      <c r="AZ308" s="143"/>
    </row>
    <row r="309" spans="2:52">
      <c r="B309" s="86"/>
      <c r="C309" s="28"/>
      <c r="D309" s="164"/>
      <c r="E309" s="29"/>
      <c r="F309" s="29"/>
      <c r="G309" s="263"/>
      <c r="H309" s="8"/>
      <c r="I309" s="8"/>
      <c r="J309" s="8"/>
      <c r="K309" s="7"/>
      <c r="L309" s="324"/>
      <c r="M309" s="38"/>
      <c r="N309" s="29"/>
      <c r="O309" s="9"/>
      <c r="P309" s="9"/>
      <c r="Q309" s="9"/>
      <c r="R309" s="9"/>
      <c r="S309" s="76"/>
      <c r="T309" s="8"/>
      <c r="U309" s="1011"/>
      <c r="V309" s="8"/>
      <c r="W309" s="8"/>
      <c r="X309" s="1011"/>
      <c r="Z309" s="143"/>
      <c r="AA309" s="316"/>
      <c r="AB309" s="45"/>
      <c r="AC309" s="8"/>
      <c r="AD309" s="8"/>
      <c r="AE309" s="25"/>
      <c r="AF309" s="1050"/>
      <c r="AG309" s="1039"/>
      <c r="AZ309" s="143"/>
    </row>
    <row r="310" spans="2:52">
      <c r="B310" s="86"/>
      <c r="C310" s="28"/>
      <c r="D310" s="164"/>
      <c r="E310" s="29"/>
      <c r="F310" s="29"/>
      <c r="G310" s="263"/>
      <c r="H310" s="8"/>
      <c r="I310" s="8"/>
      <c r="J310" s="8"/>
      <c r="K310" s="7"/>
      <c r="L310" s="324"/>
      <c r="M310" s="38"/>
      <c r="N310" s="29"/>
      <c r="O310" s="9"/>
      <c r="P310" s="9"/>
      <c r="Q310" s="9"/>
      <c r="R310" s="9"/>
      <c r="S310" s="76"/>
      <c r="T310" s="8"/>
      <c r="U310" s="1011"/>
      <c r="V310" s="8"/>
      <c r="W310" s="8"/>
      <c r="X310" s="1011"/>
      <c r="Z310" s="143"/>
      <c r="AA310" s="316"/>
      <c r="AB310" s="45"/>
      <c r="AC310" s="8"/>
      <c r="AD310" s="8"/>
      <c r="AE310" s="25"/>
      <c r="AF310" s="1050"/>
      <c r="AG310" s="1039"/>
      <c r="AZ310" s="143"/>
    </row>
    <row r="311" spans="2:52">
      <c r="B311" s="86"/>
      <c r="C311" s="28"/>
      <c r="D311" s="164"/>
      <c r="E311" s="29"/>
      <c r="F311" s="29"/>
      <c r="G311" s="263"/>
      <c r="H311" s="8"/>
      <c r="I311" s="8"/>
      <c r="J311" s="8"/>
      <c r="K311" s="7"/>
      <c r="L311" s="324"/>
      <c r="M311" s="38"/>
      <c r="N311" s="29"/>
      <c r="O311" s="9"/>
      <c r="P311" s="9"/>
      <c r="Q311" s="9"/>
      <c r="R311" s="9"/>
      <c r="S311" s="76"/>
      <c r="T311" s="8"/>
      <c r="U311" s="1011"/>
      <c r="V311" s="8"/>
      <c r="W311" s="8"/>
      <c r="X311" s="1011"/>
      <c r="Z311" s="143"/>
      <c r="AA311" s="316"/>
      <c r="AB311" s="45"/>
      <c r="AC311" s="8"/>
      <c r="AD311" s="8"/>
      <c r="AE311" s="25"/>
      <c r="AF311" s="1050"/>
      <c r="AG311" s="1039"/>
      <c r="AZ311" s="143"/>
    </row>
    <row r="312" spans="2:52">
      <c r="B312" s="86"/>
      <c r="C312" s="28"/>
      <c r="D312" s="164"/>
      <c r="E312" s="29"/>
      <c r="F312" s="29"/>
      <c r="G312" s="263"/>
      <c r="H312" s="8"/>
      <c r="I312" s="8"/>
      <c r="J312" s="8"/>
      <c r="K312" s="7"/>
      <c r="L312" s="324"/>
      <c r="M312" s="38"/>
      <c r="N312" s="29"/>
      <c r="O312" s="9"/>
      <c r="P312" s="9"/>
      <c r="Q312" s="9"/>
      <c r="R312" s="9"/>
      <c r="S312" s="76"/>
      <c r="T312" s="8"/>
      <c r="U312" s="1011"/>
      <c r="V312" s="8"/>
      <c r="W312" s="8"/>
      <c r="X312" s="1011"/>
      <c r="Z312" s="143"/>
      <c r="AA312" s="316"/>
      <c r="AB312" s="45"/>
      <c r="AC312" s="8"/>
      <c r="AD312" s="8"/>
      <c r="AE312" s="25"/>
      <c r="AF312" s="1050"/>
      <c r="AG312" s="1039"/>
      <c r="AZ312" s="143"/>
    </row>
    <row r="313" spans="2:52">
      <c r="B313" s="86"/>
      <c r="C313" s="28"/>
      <c r="D313" s="164"/>
      <c r="E313" s="29"/>
      <c r="F313" s="29"/>
      <c r="G313" s="263"/>
      <c r="H313" s="8"/>
      <c r="I313" s="8"/>
      <c r="J313" s="8"/>
      <c r="K313" s="7"/>
      <c r="L313" s="324"/>
      <c r="M313" s="38"/>
      <c r="N313" s="29"/>
      <c r="O313" s="9"/>
      <c r="P313" s="9"/>
      <c r="Q313" s="9"/>
      <c r="R313" s="9"/>
      <c r="S313" s="76"/>
      <c r="T313" s="8"/>
      <c r="U313" s="1011"/>
      <c r="V313" s="8"/>
      <c r="W313" s="8"/>
      <c r="X313" s="1011"/>
      <c r="Z313" s="143"/>
      <c r="AA313" s="316"/>
      <c r="AB313" s="45"/>
      <c r="AC313" s="8"/>
      <c r="AD313" s="8"/>
      <c r="AE313" s="25"/>
      <c r="AF313" s="1050"/>
      <c r="AG313" s="1039"/>
      <c r="AZ313" s="143"/>
    </row>
    <row r="314" spans="2:52">
      <c r="B314" s="86"/>
      <c r="C314" s="28"/>
      <c r="D314" s="164"/>
      <c r="E314" s="29"/>
      <c r="F314" s="29"/>
      <c r="G314" s="263"/>
      <c r="H314" s="8"/>
      <c r="I314" s="8"/>
      <c r="J314" s="8"/>
      <c r="K314" s="7"/>
      <c r="L314" s="324"/>
      <c r="M314" s="38"/>
      <c r="N314" s="29"/>
      <c r="O314" s="9"/>
      <c r="P314" s="9"/>
      <c r="Q314" s="9"/>
      <c r="R314" s="9"/>
      <c r="S314" s="76"/>
      <c r="T314" s="8"/>
      <c r="U314" s="1011"/>
      <c r="V314" s="8"/>
      <c r="W314" s="8"/>
      <c r="X314" s="1011"/>
      <c r="Z314" s="143"/>
      <c r="AA314" s="316"/>
      <c r="AB314" s="45"/>
      <c r="AC314" s="8"/>
      <c r="AD314" s="8"/>
      <c r="AE314" s="25"/>
      <c r="AF314" s="1050"/>
      <c r="AG314" s="1039"/>
      <c r="AZ314" s="143"/>
    </row>
    <row r="315" spans="2:52">
      <c r="B315" s="86"/>
      <c r="C315" s="28"/>
      <c r="D315" s="164"/>
      <c r="E315" s="29"/>
      <c r="F315" s="29"/>
      <c r="G315" s="263"/>
      <c r="H315" s="8"/>
      <c r="I315" s="8"/>
      <c r="J315" s="8"/>
      <c r="K315" s="7"/>
      <c r="L315" s="324"/>
      <c r="M315" s="38"/>
      <c r="N315" s="29"/>
      <c r="O315" s="9"/>
      <c r="P315" s="9"/>
      <c r="Q315" s="9"/>
      <c r="R315" s="9"/>
      <c r="S315" s="76"/>
      <c r="T315" s="8"/>
      <c r="U315" s="1011"/>
      <c r="V315" s="8"/>
      <c r="W315" s="8"/>
      <c r="X315" s="1011"/>
      <c r="Z315" s="143"/>
      <c r="AA315" s="316"/>
      <c r="AB315" s="45"/>
      <c r="AC315" s="8"/>
      <c r="AD315" s="8"/>
      <c r="AE315" s="25"/>
      <c r="AF315" s="1050"/>
      <c r="AG315" s="1039"/>
      <c r="AZ315" s="143"/>
    </row>
    <row r="316" spans="2:52">
      <c r="B316" s="86"/>
      <c r="C316" s="28"/>
      <c r="D316" s="164"/>
      <c r="E316" s="29"/>
      <c r="F316" s="29"/>
      <c r="G316" s="263"/>
      <c r="H316" s="8"/>
      <c r="I316" s="8"/>
      <c r="J316" s="8"/>
      <c r="K316" s="7"/>
      <c r="L316" s="324"/>
      <c r="M316" s="38"/>
      <c r="N316" s="29"/>
      <c r="O316" s="9"/>
      <c r="P316" s="9"/>
      <c r="Q316" s="9"/>
      <c r="R316" s="9"/>
      <c r="S316" s="76"/>
      <c r="T316" s="8"/>
      <c r="U316" s="1011"/>
      <c r="V316" s="8"/>
      <c r="W316" s="8"/>
      <c r="X316" s="1011"/>
      <c r="Z316" s="143"/>
      <c r="AA316" s="316"/>
      <c r="AB316" s="45"/>
      <c r="AC316" s="8"/>
      <c r="AD316" s="8"/>
      <c r="AE316" s="25"/>
      <c r="AF316" s="1050"/>
      <c r="AG316" s="1039"/>
      <c r="AZ316" s="143"/>
    </row>
    <row r="317" spans="2:52">
      <c r="B317" s="86"/>
      <c r="C317" s="28"/>
      <c r="D317" s="164"/>
      <c r="E317" s="29"/>
      <c r="F317" s="29"/>
      <c r="G317" s="263"/>
      <c r="H317" s="8"/>
      <c r="I317" s="8"/>
      <c r="J317" s="8"/>
      <c r="K317" s="7"/>
      <c r="L317" s="324"/>
      <c r="M317" s="38"/>
      <c r="N317" s="29"/>
      <c r="O317" s="9"/>
      <c r="P317" s="9"/>
      <c r="Q317" s="9"/>
      <c r="R317" s="9"/>
      <c r="S317" s="76"/>
      <c r="T317" s="8"/>
      <c r="U317" s="1011"/>
      <c r="V317" s="8"/>
      <c r="W317" s="8"/>
      <c r="X317" s="1011"/>
      <c r="Z317" s="143"/>
      <c r="AA317" s="316"/>
      <c r="AB317" s="45"/>
      <c r="AC317" s="8"/>
      <c r="AD317" s="8"/>
      <c r="AE317" s="25"/>
      <c r="AF317" s="1050"/>
      <c r="AG317" s="1039"/>
      <c r="AZ317" s="143"/>
    </row>
    <row r="318" spans="2:52">
      <c r="B318" s="86"/>
      <c r="C318" s="28"/>
      <c r="D318" s="164"/>
      <c r="E318" s="29"/>
      <c r="F318" s="29"/>
      <c r="G318" s="263"/>
      <c r="H318" s="8"/>
      <c r="I318" s="8"/>
      <c r="J318" s="8"/>
      <c r="K318" s="7"/>
      <c r="L318" s="324"/>
      <c r="M318" s="38"/>
      <c r="N318" s="29"/>
      <c r="O318" s="9"/>
      <c r="P318" s="9"/>
      <c r="Q318" s="9"/>
      <c r="R318" s="9"/>
      <c r="S318" s="76"/>
      <c r="T318" s="8"/>
      <c r="U318" s="1011"/>
      <c r="V318" s="8"/>
      <c r="W318" s="8"/>
      <c r="X318" s="1011"/>
      <c r="Z318" s="143"/>
      <c r="AA318" s="316"/>
      <c r="AB318" s="45"/>
      <c r="AC318" s="8"/>
      <c r="AD318" s="8"/>
      <c r="AE318" s="25"/>
      <c r="AF318" s="1050"/>
      <c r="AG318" s="1039"/>
      <c r="AZ318" s="143"/>
    </row>
    <row r="319" spans="2:52">
      <c r="B319" s="86"/>
      <c r="C319" s="28"/>
      <c r="D319" s="164"/>
      <c r="E319" s="29"/>
      <c r="F319" s="29"/>
      <c r="G319" s="263"/>
      <c r="H319" s="8"/>
      <c r="I319" s="8"/>
      <c r="J319" s="8"/>
      <c r="K319" s="7"/>
      <c r="L319" s="324"/>
      <c r="M319" s="38"/>
      <c r="N319" s="29"/>
      <c r="O319" s="9"/>
      <c r="P319" s="9"/>
      <c r="Q319" s="9"/>
      <c r="R319" s="9"/>
      <c r="S319" s="76"/>
      <c r="T319" s="8"/>
      <c r="U319" s="1011"/>
      <c r="V319" s="8"/>
      <c r="W319" s="8"/>
      <c r="X319" s="1011"/>
      <c r="Z319" s="143"/>
      <c r="AA319" s="316"/>
      <c r="AB319" s="45"/>
      <c r="AC319" s="8"/>
      <c r="AD319" s="8"/>
      <c r="AE319" s="25"/>
      <c r="AF319" s="1050"/>
      <c r="AG319" s="1039"/>
      <c r="AZ319" s="143"/>
    </row>
    <row r="320" spans="2:52">
      <c r="B320" s="86"/>
      <c r="C320" s="28"/>
      <c r="D320" s="164"/>
      <c r="E320" s="29"/>
      <c r="F320" s="29"/>
      <c r="G320" s="263"/>
      <c r="H320" s="8"/>
      <c r="I320" s="8"/>
      <c r="J320" s="8"/>
      <c r="K320" s="7"/>
      <c r="L320" s="324"/>
      <c r="M320" s="38"/>
      <c r="N320" s="29"/>
      <c r="O320" s="9"/>
      <c r="P320" s="9"/>
      <c r="Q320" s="9"/>
      <c r="R320" s="9"/>
      <c r="S320" s="76"/>
      <c r="T320" s="8"/>
      <c r="U320" s="1011"/>
      <c r="V320" s="8"/>
      <c r="W320" s="8"/>
      <c r="X320" s="1011"/>
      <c r="Z320" s="143"/>
      <c r="AA320" s="316"/>
      <c r="AB320" s="45"/>
      <c r="AC320" s="8"/>
      <c r="AD320" s="8"/>
      <c r="AE320" s="25"/>
      <c r="AF320" s="1050"/>
      <c r="AG320" s="1039"/>
      <c r="AZ320" s="143"/>
    </row>
    <row r="321" spans="2:52">
      <c r="B321" s="86"/>
      <c r="C321" s="28"/>
      <c r="D321" s="164"/>
      <c r="E321" s="29"/>
      <c r="F321" s="29"/>
      <c r="G321" s="263"/>
      <c r="H321" s="8"/>
      <c r="I321" s="8"/>
      <c r="J321" s="8"/>
      <c r="K321" s="7"/>
      <c r="L321" s="324"/>
      <c r="M321" s="38"/>
      <c r="N321" s="29"/>
      <c r="O321" s="9"/>
      <c r="P321" s="9"/>
      <c r="Q321" s="9"/>
      <c r="R321" s="9"/>
      <c r="S321" s="76"/>
      <c r="T321" s="8"/>
      <c r="U321" s="1011"/>
      <c r="V321" s="8"/>
      <c r="W321" s="8"/>
      <c r="X321" s="1011"/>
      <c r="Z321" s="143"/>
      <c r="AA321" s="316"/>
      <c r="AB321" s="45"/>
      <c r="AC321" s="8"/>
      <c r="AD321" s="8"/>
      <c r="AE321" s="25"/>
      <c r="AF321" s="1050"/>
      <c r="AG321" s="1039"/>
      <c r="AZ321" s="143"/>
    </row>
    <row r="322" spans="2:52">
      <c r="B322" s="86"/>
      <c r="C322" s="28"/>
      <c r="D322" s="164"/>
      <c r="E322" s="29"/>
      <c r="F322" s="29"/>
      <c r="G322" s="263"/>
      <c r="H322" s="8"/>
      <c r="I322" s="8"/>
      <c r="J322" s="8"/>
      <c r="K322" s="7"/>
      <c r="L322" s="324"/>
      <c r="M322" s="38"/>
      <c r="N322" s="29"/>
      <c r="O322" s="9"/>
      <c r="P322" s="9"/>
      <c r="Q322" s="9"/>
      <c r="R322" s="9"/>
      <c r="S322" s="76"/>
      <c r="T322" s="8"/>
      <c r="U322" s="1011"/>
      <c r="V322" s="8"/>
      <c r="W322" s="8"/>
      <c r="X322" s="1011"/>
      <c r="Z322" s="143"/>
      <c r="AA322" s="316"/>
      <c r="AB322" s="45"/>
      <c r="AC322" s="8"/>
      <c r="AD322" s="8"/>
      <c r="AE322" s="25"/>
      <c r="AF322" s="1050"/>
      <c r="AG322" s="1039"/>
      <c r="AZ322" s="143"/>
    </row>
    <row r="323" spans="2:52">
      <c r="B323" s="86"/>
      <c r="C323" s="28"/>
      <c r="D323" s="164"/>
      <c r="E323" s="29"/>
      <c r="F323" s="29"/>
      <c r="G323" s="263"/>
      <c r="H323" s="8"/>
      <c r="I323" s="8"/>
      <c r="J323" s="8"/>
      <c r="K323" s="7"/>
      <c r="L323" s="324"/>
      <c r="M323" s="38"/>
      <c r="N323" s="29"/>
      <c r="O323" s="9"/>
      <c r="P323" s="9"/>
      <c r="Q323" s="9"/>
      <c r="R323" s="9"/>
      <c r="S323" s="76"/>
      <c r="T323" s="8"/>
      <c r="U323" s="1011"/>
      <c r="V323" s="8"/>
      <c r="W323" s="8"/>
      <c r="X323" s="1011"/>
      <c r="Z323" s="143"/>
      <c r="AA323" s="316"/>
      <c r="AB323" s="45"/>
      <c r="AC323" s="8"/>
      <c r="AD323" s="8"/>
      <c r="AE323" s="25"/>
      <c r="AF323" s="1050"/>
      <c r="AG323" s="1039"/>
      <c r="AZ323" s="143"/>
    </row>
    <row r="324" spans="2:52">
      <c r="B324" s="86"/>
      <c r="C324" s="28"/>
      <c r="D324" s="164"/>
      <c r="E324" s="29"/>
      <c r="F324" s="29"/>
      <c r="G324" s="263"/>
      <c r="H324" s="8"/>
      <c r="I324" s="8"/>
      <c r="J324" s="8"/>
      <c r="K324" s="7"/>
      <c r="L324" s="324"/>
      <c r="M324" s="38"/>
      <c r="N324" s="29"/>
      <c r="O324" s="9"/>
      <c r="P324" s="9"/>
      <c r="Q324" s="9"/>
      <c r="R324" s="9"/>
      <c r="S324" s="76"/>
      <c r="T324" s="8"/>
      <c r="U324" s="1011"/>
      <c r="V324" s="8"/>
      <c r="W324" s="8"/>
      <c r="X324" s="1011"/>
      <c r="Z324" s="143"/>
      <c r="AA324" s="316"/>
      <c r="AB324" s="45"/>
      <c r="AC324" s="8"/>
      <c r="AD324" s="8"/>
      <c r="AE324" s="25"/>
      <c r="AF324" s="1050"/>
      <c r="AG324" s="1039"/>
      <c r="AZ324" s="143"/>
    </row>
    <row r="325" spans="2:52">
      <c r="B325" s="86"/>
      <c r="C325" s="28"/>
      <c r="D325" s="164"/>
      <c r="E325" s="29"/>
      <c r="F325" s="29"/>
      <c r="G325" s="263"/>
      <c r="H325" s="8"/>
      <c r="I325" s="8"/>
      <c r="J325" s="8"/>
      <c r="K325" s="7"/>
      <c r="L325" s="324"/>
      <c r="M325" s="38"/>
      <c r="N325" s="29"/>
      <c r="O325" s="9"/>
      <c r="P325" s="9"/>
      <c r="Q325" s="9"/>
      <c r="R325" s="9"/>
      <c r="S325" s="76"/>
      <c r="T325" s="8"/>
      <c r="U325" s="1011"/>
      <c r="V325" s="8"/>
      <c r="W325" s="8"/>
      <c r="X325" s="1011"/>
      <c r="Z325" s="143"/>
      <c r="AA325" s="316"/>
      <c r="AB325" s="45"/>
      <c r="AC325" s="8"/>
      <c r="AD325" s="8"/>
      <c r="AE325" s="25"/>
      <c r="AF325" s="1050"/>
      <c r="AG325" s="1039"/>
      <c r="AZ325" s="143"/>
    </row>
    <row r="326" spans="2:52">
      <c r="B326" s="86"/>
      <c r="C326" s="28"/>
      <c r="D326" s="164"/>
      <c r="E326" s="29"/>
      <c r="F326" s="29"/>
      <c r="G326" s="263"/>
      <c r="H326" s="8"/>
      <c r="I326" s="8"/>
      <c r="J326" s="8"/>
      <c r="K326" s="7"/>
      <c r="L326" s="324"/>
      <c r="M326" s="38"/>
      <c r="N326" s="29"/>
      <c r="O326" s="9"/>
      <c r="P326" s="9"/>
      <c r="Q326" s="9"/>
      <c r="R326" s="9"/>
      <c r="S326" s="76"/>
      <c r="T326" s="8"/>
      <c r="U326" s="1011"/>
      <c r="V326" s="8"/>
      <c r="W326" s="8"/>
      <c r="X326" s="1011"/>
      <c r="Z326" s="143"/>
      <c r="AA326" s="316"/>
      <c r="AB326" s="45"/>
      <c r="AC326" s="8"/>
      <c r="AD326" s="8"/>
      <c r="AE326" s="25"/>
      <c r="AF326" s="1050"/>
      <c r="AG326" s="1039"/>
      <c r="AZ326" s="143"/>
    </row>
    <row r="327" spans="2:52">
      <c r="B327" s="86"/>
      <c r="C327" s="28"/>
      <c r="D327" s="164"/>
      <c r="E327" s="29"/>
      <c r="F327" s="29"/>
      <c r="G327" s="263"/>
      <c r="H327" s="8"/>
      <c r="I327" s="8"/>
      <c r="J327" s="8"/>
      <c r="K327" s="7"/>
      <c r="L327" s="324"/>
      <c r="M327" s="38"/>
      <c r="N327" s="29"/>
      <c r="O327" s="9"/>
      <c r="P327" s="9"/>
      <c r="Q327" s="9"/>
      <c r="R327" s="9"/>
      <c r="S327" s="76"/>
      <c r="T327" s="8"/>
      <c r="U327" s="1011"/>
      <c r="V327" s="8"/>
      <c r="W327" s="8"/>
      <c r="X327" s="1011"/>
      <c r="Z327" s="143"/>
      <c r="AA327" s="316"/>
      <c r="AB327" s="45"/>
      <c r="AC327" s="8"/>
      <c r="AD327" s="8"/>
      <c r="AE327" s="25"/>
      <c r="AF327" s="1050"/>
      <c r="AG327" s="1039"/>
      <c r="AZ327" s="143"/>
    </row>
    <row r="328" spans="2:52">
      <c r="B328" s="86"/>
      <c r="C328" s="28"/>
      <c r="D328" s="164"/>
      <c r="E328" s="29"/>
      <c r="F328" s="29"/>
      <c r="G328" s="263"/>
      <c r="H328" s="8"/>
      <c r="I328" s="8"/>
      <c r="J328" s="8"/>
      <c r="K328" s="7"/>
      <c r="L328" s="324"/>
      <c r="M328" s="38"/>
      <c r="N328" s="29"/>
      <c r="O328" s="9"/>
      <c r="P328" s="9"/>
      <c r="Q328" s="9"/>
      <c r="R328" s="9"/>
      <c r="S328" s="76"/>
      <c r="T328" s="8"/>
      <c r="U328" s="1011"/>
      <c r="V328" s="8"/>
      <c r="W328" s="8"/>
      <c r="X328" s="1011"/>
      <c r="Z328" s="143"/>
      <c r="AA328" s="316"/>
      <c r="AB328" s="45"/>
      <c r="AC328" s="8"/>
      <c r="AD328" s="8"/>
      <c r="AE328" s="25"/>
      <c r="AF328" s="1050"/>
      <c r="AG328" s="1039"/>
      <c r="AZ328" s="143"/>
    </row>
    <row r="329" spans="2:52">
      <c r="B329" s="86"/>
      <c r="C329" s="28"/>
      <c r="D329" s="164"/>
      <c r="E329" s="29"/>
      <c r="F329" s="29"/>
      <c r="G329" s="263"/>
      <c r="H329" s="8"/>
      <c r="I329" s="8"/>
      <c r="J329" s="8"/>
      <c r="K329" s="7"/>
      <c r="L329" s="324"/>
      <c r="M329" s="38"/>
      <c r="N329" s="29"/>
      <c r="O329" s="9"/>
      <c r="P329" s="9"/>
      <c r="Q329" s="9"/>
      <c r="R329" s="9"/>
      <c r="S329" s="76"/>
      <c r="T329" s="8"/>
      <c r="U329" s="1011"/>
      <c r="V329" s="8"/>
      <c r="W329" s="8"/>
      <c r="X329" s="1011"/>
      <c r="Z329" s="143"/>
      <c r="AA329" s="316"/>
      <c r="AB329" s="45"/>
      <c r="AC329" s="8"/>
      <c r="AD329" s="8"/>
      <c r="AE329" s="25"/>
      <c r="AF329" s="1050"/>
      <c r="AG329" s="1039"/>
      <c r="AZ329" s="143"/>
    </row>
    <row r="330" spans="2:52">
      <c r="B330" s="86"/>
      <c r="C330" s="28"/>
      <c r="D330" s="164"/>
      <c r="E330" s="29"/>
      <c r="F330" s="29"/>
      <c r="G330" s="263"/>
      <c r="H330" s="8"/>
      <c r="I330" s="8"/>
      <c r="J330" s="8"/>
      <c r="K330" s="7"/>
      <c r="L330" s="324"/>
      <c r="M330" s="38"/>
      <c r="N330" s="29"/>
      <c r="O330" s="9"/>
      <c r="P330" s="9"/>
      <c r="Q330" s="9"/>
      <c r="R330" s="9"/>
      <c r="S330" s="76"/>
      <c r="T330" s="8"/>
      <c r="U330" s="1011"/>
      <c r="V330" s="8"/>
      <c r="W330" s="8"/>
      <c r="X330" s="1011"/>
      <c r="Z330" s="143"/>
      <c r="AA330" s="316"/>
      <c r="AB330" s="45"/>
      <c r="AC330" s="8"/>
      <c r="AD330" s="8"/>
      <c r="AE330" s="25"/>
      <c r="AF330" s="1050"/>
      <c r="AG330" s="1039"/>
      <c r="AZ330" s="143"/>
    </row>
    <row r="331" spans="2:52">
      <c r="B331" s="86"/>
      <c r="C331" s="28"/>
      <c r="D331" s="164"/>
      <c r="E331" s="29"/>
      <c r="F331" s="29"/>
      <c r="G331" s="263"/>
      <c r="H331" s="8"/>
      <c r="I331" s="8"/>
      <c r="J331" s="8"/>
      <c r="K331" s="7"/>
      <c r="L331" s="324"/>
      <c r="M331" s="38"/>
      <c r="N331" s="29"/>
      <c r="O331" s="9"/>
      <c r="P331" s="9"/>
      <c r="Q331" s="9"/>
      <c r="R331" s="9"/>
      <c r="S331" s="76"/>
      <c r="T331" s="8"/>
      <c r="U331" s="1011"/>
      <c r="V331" s="8"/>
      <c r="W331" s="8"/>
      <c r="X331" s="1011"/>
      <c r="Z331" s="143"/>
      <c r="AA331" s="316"/>
      <c r="AB331" s="45"/>
      <c r="AC331" s="8"/>
      <c r="AD331" s="8"/>
      <c r="AE331" s="25"/>
      <c r="AF331" s="1050"/>
      <c r="AG331" s="1039"/>
      <c r="AZ331" s="143"/>
    </row>
    <row r="332" spans="2:52">
      <c r="B332" s="86"/>
      <c r="C332" s="28"/>
      <c r="D332" s="164"/>
      <c r="E332" s="29"/>
      <c r="F332" s="29"/>
      <c r="G332" s="263"/>
      <c r="H332" s="8"/>
      <c r="I332" s="8"/>
      <c r="J332" s="8"/>
      <c r="K332" s="7"/>
      <c r="L332" s="324"/>
      <c r="M332" s="38"/>
      <c r="N332" s="29"/>
      <c r="O332" s="9"/>
      <c r="P332" s="9"/>
      <c r="Q332" s="9"/>
      <c r="R332" s="9"/>
      <c r="S332" s="76"/>
      <c r="T332" s="8"/>
      <c r="U332" s="1011"/>
      <c r="V332" s="8"/>
      <c r="W332" s="8"/>
      <c r="X332" s="1011"/>
      <c r="Z332" s="143"/>
      <c r="AA332" s="316"/>
      <c r="AB332" s="45"/>
      <c r="AC332" s="8"/>
      <c r="AD332" s="8"/>
      <c r="AE332" s="25"/>
      <c r="AF332" s="1050"/>
      <c r="AG332" s="1039"/>
      <c r="AZ332" s="143"/>
    </row>
    <row r="333" spans="2:52">
      <c r="B333" s="86"/>
      <c r="C333" s="28"/>
      <c r="D333" s="164"/>
      <c r="E333" s="29"/>
      <c r="F333" s="29"/>
      <c r="G333" s="263"/>
      <c r="H333" s="8"/>
      <c r="I333" s="8"/>
      <c r="J333" s="8"/>
      <c r="K333" s="7"/>
      <c r="L333" s="324"/>
      <c r="M333" s="38"/>
      <c r="N333" s="29"/>
      <c r="O333" s="9"/>
      <c r="P333" s="9"/>
      <c r="Q333" s="9"/>
      <c r="R333" s="9"/>
      <c r="S333" s="76"/>
      <c r="T333" s="8"/>
      <c r="U333" s="1011"/>
      <c r="V333" s="8"/>
      <c r="W333" s="8"/>
      <c r="X333" s="1011"/>
      <c r="Z333" s="143"/>
      <c r="AA333" s="316"/>
      <c r="AB333" s="45"/>
      <c r="AC333" s="8"/>
      <c r="AD333" s="8"/>
      <c r="AE333" s="25"/>
      <c r="AF333" s="1050"/>
      <c r="AG333" s="1039"/>
      <c r="AZ333" s="143"/>
    </row>
    <row r="334" spans="2:52">
      <c r="B334" s="86"/>
      <c r="C334" s="28"/>
      <c r="D334" s="164"/>
      <c r="E334" s="29"/>
      <c r="F334" s="29"/>
      <c r="G334" s="263"/>
      <c r="H334" s="8"/>
      <c r="I334" s="8"/>
      <c r="J334" s="8"/>
      <c r="K334" s="7"/>
      <c r="L334" s="324"/>
      <c r="M334" s="38"/>
      <c r="N334" s="29"/>
      <c r="O334" s="9"/>
      <c r="P334" s="9"/>
      <c r="Q334" s="9"/>
      <c r="R334" s="9"/>
      <c r="S334" s="76"/>
      <c r="T334" s="8"/>
      <c r="U334" s="1011"/>
      <c r="V334" s="8"/>
      <c r="W334" s="8"/>
      <c r="X334" s="1011"/>
      <c r="Z334" s="143"/>
      <c r="AA334" s="316"/>
      <c r="AB334" s="45"/>
      <c r="AC334" s="8"/>
      <c r="AD334" s="8"/>
      <c r="AE334" s="25"/>
      <c r="AF334" s="1050"/>
      <c r="AG334" s="1039"/>
      <c r="AZ334" s="143"/>
    </row>
    <row r="335" spans="2:52">
      <c r="B335" s="86"/>
      <c r="C335" s="28"/>
      <c r="D335" s="164"/>
      <c r="E335" s="29"/>
      <c r="F335" s="29"/>
      <c r="G335" s="263"/>
      <c r="H335" s="8"/>
      <c r="I335" s="8"/>
      <c r="J335" s="8"/>
      <c r="K335" s="7"/>
      <c r="L335" s="324"/>
      <c r="M335" s="38"/>
      <c r="N335" s="29"/>
      <c r="O335" s="9"/>
      <c r="P335" s="9"/>
      <c r="Q335" s="9"/>
      <c r="R335" s="9"/>
      <c r="S335" s="76"/>
      <c r="T335" s="8"/>
      <c r="U335" s="1011"/>
      <c r="V335" s="8"/>
      <c r="W335" s="8"/>
      <c r="X335" s="1011"/>
      <c r="Z335" s="143"/>
      <c r="AA335" s="316"/>
      <c r="AB335" s="45"/>
      <c r="AC335" s="8"/>
      <c r="AD335" s="8"/>
      <c r="AE335" s="25"/>
      <c r="AF335" s="1050"/>
      <c r="AG335" s="1039"/>
      <c r="AZ335" s="143"/>
    </row>
    <row r="336" spans="2:52">
      <c r="B336" s="86"/>
      <c r="C336" s="28"/>
      <c r="D336" s="164"/>
      <c r="E336" s="29"/>
      <c r="F336" s="29"/>
      <c r="G336" s="263"/>
      <c r="H336" s="8"/>
      <c r="I336" s="8"/>
      <c r="J336" s="8"/>
      <c r="K336" s="7"/>
      <c r="L336" s="324"/>
      <c r="M336" s="38"/>
      <c r="N336" s="29"/>
      <c r="O336" s="9"/>
      <c r="P336" s="9"/>
      <c r="Q336" s="9"/>
      <c r="R336" s="9"/>
      <c r="S336" s="76"/>
      <c r="T336" s="8"/>
      <c r="U336" s="1011"/>
      <c r="V336" s="8"/>
      <c r="W336" s="8"/>
      <c r="X336" s="1011"/>
      <c r="Z336" s="143"/>
      <c r="AA336" s="316"/>
      <c r="AB336" s="45"/>
      <c r="AC336" s="8"/>
      <c r="AD336" s="8"/>
      <c r="AE336" s="25"/>
      <c r="AF336" s="1050"/>
      <c r="AG336" s="1039"/>
      <c r="AZ336" s="143"/>
    </row>
    <row r="337" spans="2:52">
      <c r="B337" s="86"/>
      <c r="C337" s="28"/>
      <c r="D337" s="164"/>
      <c r="E337" s="29"/>
      <c r="F337" s="29"/>
      <c r="G337" s="263"/>
      <c r="H337" s="8"/>
      <c r="I337" s="8"/>
      <c r="J337" s="8"/>
      <c r="K337" s="7"/>
      <c r="L337" s="324"/>
      <c r="M337" s="38"/>
      <c r="N337" s="29"/>
      <c r="O337" s="9"/>
      <c r="P337" s="9"/>
      <c r="Q337" s="9"/>
      <c r="R337" s="9"/>
      <c r="S337" s="76"/>
      <c r="T337" s="8"/>
      <c r="U337" s="1011"/>
      <c r="V337" s="8"/>
      <c r="W337" s="8"/>
      <c r="X337" s="1011"/>
      <c r="Z337" s="143"/>
      <c r="AA337" s="316"/>
      <c r="AB337" s="45"/>
      <c r="AC337" s="8"/>
      <c r="AD337" s="8"/>
      <c r="AE337" s="25"/>
      <c r="AF337" s="1050"/>
      <c r="AG337" s="1039"/>
      <c r="AZ337" s="143"/>
    </row>
    <row r="338" spans="2:52">
      <c r="B338" s="86"/>
      <c r="C338" s="28"/>
      <c r="D338" s="164"/>
      <c r="E338" s="29"/>
      <c r="F338" s="29"/>
      <c r="G338" s="263"/>
      <c r="H338" s="8"/>
      <c r="I338" s="8"/>
      <c r="J338" s="8"/>
      <c r="K338" s="7"/>
      <c r="L338" s="324"/>
      <c r="M338" s="38"/>
      <c r="N338" s="29"/>
      <c r="O338" s="9"/>
      <c r="P338" s="9"/>
      <c r="Q338" s="9"/>
      <c r="R338" s="9"/>
      <c r="S338" s="76"/>
      <c r="T338" s="8"/>
      <c r="U338" s="1011"/>
      <c r="V338" s="8"/>
      <c r="W338" s="8"/>
      <c r="X338" s="1011"/>
      <c r="Z338" s="143"/>
      <c r="AA338" s="316"/>
      <c r="AB338" s="45"/>
      <c r="AC338" s="8"/>
      <c r="AD338" s="8"/>
      <c r="AE338" s="25"/>
      <c r="AF338" s="1050"/>
      <c r="AG338" s="1039"/>
      <c r="AZ338" s="143"/>
    </row>
    <row r="339" spans="2:52">
      <c r="B339" s="86"/>
      <c r="C339" s="28"/>
      <c r="D339" s="164"/>
      <c r="E339" s="29"/>
      <c r="F339" s="29"/>
      <c r="G339" s="263"/>
      <c r="H339" s="8"/>
      <c r="I339" s="8"/>
      <c r="J339" s="8"/>
      <c r="K339" s="7"/>
      <c r="L339" s="324"/>
      <c r="M339" s="38"/>
      <c r="N339" s="29"/>
      <c r="O339" s="9"/>
      <c r="P339" s="9"/>
      <c r="Q339" s="9"/>
      <c r="R339" s="9"/>
      <c r="S339" s="76"/>
      <c r="T339" s="8"/>
      <c r="U339" s="1011"/>
      <c r="V339" s="8"/>
      <c r="W339" s="8"/>
      <c r="X339" s="1011"/>
      <c r="Z339" s="143"/>
      <c r="AA339" s="316"/>
      <c r="AB339" s="45"/>
      <c r="AC339" s="8"/>
      <c r="AD339" s="8"/>
      <c r="AE339" s="25"/>
      <c r="AF339" s="1050"/>
      <c r="AG339" s="1039"/>
      <c r="AZ339" s="143"/>
    </row>
    <row r="340" spans="2:52">
      <c r="B340" s="86"/>
      <c r="C340" s="28"/>
      <c r="D340" s="164"/>
      <c r="E340" s="29"/>
      <c r="F340" s="29"/>
      <c r="G340" s="263"/>
      <c r="H340" s="8"/>
      <c r="I340" s="8"/>
      <c r="J340" s="8"/>
      <c r="K340" s="7"/>
      <c r="L340" s="324"/>
      <c r="M340" s="38"/>
      <c r="N340" s="29"/>
      <c r="O340" s="9"/>
      <c r="P340" s="9"/>
      <c r="Q340" s="9"/>
      <c r="R340" s="9"/>
      <c r="S340" s="76"/>
      <c r="T340" s="8"/>
      <c r="U340" s="1011"/>
      <c r="V340" s="8"/>
      <c r="W340" s="8"/>
      <c r="X340" s="1011"/>
      <c r="Z340" s="143"/>
      <c r="AA340" s="316"/>
      <c r="AB340" s="45"/>
      <c r="AC340" s="8"/>
      <c r="AD340" s="8"/>
      <c r="AE340" s="25"/>
      <c r="AF340" s="1050"/>
      <c r="AG340" s="1039"/>
      <c r="AZ340" s="143"/>
    </row>
    <row r="341" spans="2:52">
      <c r="B341" s="86"/>
      <c r="C341" s="28"/>
      <c r="D341" s="164"/>
      <c r="E341" s="29"/>
      <c r="F341" s="29"/>
      <c r="G341" s="263"/>
      <c r="H341" s="8"/>
      <c r="I341" s="8"/>
      <c r="J341" s="8"/>
      <c r="K341" s="7"/>
      <c r="L341" s="324"/>
      <c r="M341" s="38"/>
      <c r="N341" s="29"/>
      <c r="O341" s="9"/>
      <c r="P341" s="9"/>
      <c r="Q341" s="9"/>
      <c r="R341" s="9"/>
      <c r="S341" s="76"/>
      <c r="T341" s="8"/>
      <c r="U341" s="1011"/>
      <c r="V341" s="8"/>
      <c r="W341" s="8"/>
      <c r="X341" s="1011"/>
      <c r="Z341" s="143"/>
      <c r="AA341" s="316"/>
      <c r="AB341" s="45"/>
      <c r="AC341" s="8"/>
      <c r="AD341" s="8"/>
      <c r="AE341" s="25"/>
      <c r="AF341" s="1050"/>
      <c r="AG341" s="1039"/>
      <c r="AZ341" s="143"/>
    </row>
    <row r="342" spans="2:52">
      <c r="B342" s="86"/>
      <c r="C342" s="28"/>
      <c r="D342" s="164"/>
      <c r="E342" s="29"/>
      <c r="F342" s="29"/>
      <c r="G342" s="263"/>
      <c r="H342" s="8"/>
      <c r="I342" s="8"/>
      <c r="J342" s="8"/>
      <c r="K342" s="7"/>
      <c r="L342" s="324"/>
      <c r="M342" s="38"/>
      <c r="N342" s="29"/>
      <c r="O342" s="9"/>
      <c r="P342" s="9"/>
      <c r="Q342" s="9"/>
      <c r="R342" s="9"/>
      <c r="S342" s="76"/>
      <c r="T342" s="8"/>
      <c r="U342" s="1011"/>
      <c r="V342" s="8"/>
      <c r="W342" s="8"/>
      <c r="X342" s="1011"/>
      <c r="Z342" s="143"/>
      <c r="AA342" s="316"/>
      <c r="AB342" s="45"/>
      <c r="AC342" s="8"/>
      <c r="AD342" s="8"/>
      <c r="AE342" s="25"/>
      <c r="AF342" s="1050"/>
      <c r="AG342" s="1039"/>
      <c r="AZ342" s="143"/>
    </row>
    <row r="343" spans="2:52">
      <c r="B343" s="86"/>
      <c r="C343" s="28"/>
      <c r="D343" s="164"/>
      <c r="E343" s="29"/>
      <c r="F343" s="29"/>
      <c r="G343" s="263"/>
      <c r="H343" s="8"/>
      <c r="I343" s="8"/>
      <c r="J343" s="8"/>
      <c r="K343" s="7"/>
      <c r="L343" s="324"/>
      <c r="M343" s="38"/>
      <c r="N343" s="29"/>
      <c r="O343" s="9"/>
      <c r="P343" s="9"/>
      <c r="Q343" s="9"/>
      <c r="R343" s="9"/>
      <c r="S343" s="76"/>
      <c r="T343" s="8"/>
      <c r="U343" s="1011"/>
      <c r="V343" s="8"/>
      <c r="W343" s="8"/>
      <c r="X343" s="1011"/>
      <c r="Z343" s="143"/>
      <c r="AA343" s="316"/>
      <c r="AB343" s="45"/>
      <c r="AC343" s="8"/>
      <c r="AD343" s="8"/>
      <c r="AE343" s="25"/>
      <c r="AF343" s="1050"/>
      <c r="AG343" s="1039"/>
      <c r="AZ343" s="143"/>
    </row>
    <row r="344" spans="2:52">
      <c r="B344" s="86"/>
      <c r="C344" s="28"/>
      <c r="D344" s="164"/>
      <c r="E344" s="29"/>
      <c r="F344" s="29"/>
      <c r="G344" s="263"/>
      <c r="H344" s="8"/>
      <c r="I344" s="8"/>
      <c r="J344" s="8"/>
      <c r="K344" s="7"/>
      <c r="L344" s="324"/>
      <c r="M344" s="38"/>
      <c r="N344" s="29"/>
      <c r="O344" s="9"/>
      <c r="P344" s="9"/>
      <c r="Q344" s="9"/>
      <c r="R344" s="9"/>
      <c r="S344" s="76"/>
      <c r="T344" s="8"/>
      <c r="U344" s="1011"/>
      <c r="V344" s="8"/>
      <c r="W344" s="8"/>
      <c r="X344" s="1011"/>
      <c r="Z344" s="143"/>
      <c r="AA344" s="316"/>
      <c r="AB344" s="45"/>
      <c r="AC344" s="8"/>
      <c r="AD344" s="8"/>
      <c r="AE344" s="25"/>
      <c r="AF344" s="1050"/>
      <c r="AG344" s="1039"/>
      <c r="AZ344" s="143"/>
    </row>
    <row r="345" spans="2:52">
      <c r="B345" s="86"/>
      <c r="C345" s="28"/>
      <c r="D345" s="164"/>
      <c r="E345" s="29"/>
      <c r="F345" s="29"/>
      <c r="G345" s="263"/>
      <c r="H345" s="8"/>
      <c r="I345" s="8"/>
      <c r="J345" s="8"/>
      <c r="K345" s="7"/>
      <c r="L345" s="324"/>
      <c r="M345" s="38"/>
      <c r="N345" s="29"/>
      <c r="O345" s="9"/>
      <c r="P345" s="9"/>
      <c r="Q345" s="9"/>
      <c r="R345" s="9"/>
      <c r="S345" s="76"/>
      <c r="T345" s="8"/>
      <c r="U345" s="1011"/>
      <c r="V345" s="8"/>
      <c r="W345" s="8"/>
      <c r="X345" s="1011"/>
      <c r="Z345" s="143"/>
      <c r="AA345" s="316"/>
      <c r="AB345" s="45"/>
      <c r="AC345" s="8"/>
      <c r="AD345" s="8"/>
      <c r="AE345" s="25"/>
      <c r="AF345" s="1050"/>
      <c r="AG345" s="1039"/>
      <c r="AZ345" s="143"/>
    </row>
    <row r="346" spans="2:52">
      <c r="B346" s="86"/>
      <c r="C346" s="28"/>
      <c r="D346" s="164"/>
      <c r="E346" s="29"/>
      <c r="F346" s="29"/>
      <c r="G346" s="263"/>
      <c r="H346" s="8"/>
      <c r="I346" s="8"/>
      <c r="J346" s="8"/>
      <c r="K346" s="7"/>
      <c r="L346" s="324"/>
      <c r="M346" s="38"/>
      <c r="N346" s="29"/>
      <c r="O346" s="9"/>
      <c r="P346" s="9"/>
      <c r="Q346" s="9"/>
      <c r="R346" s="9"/>
      <c r="S346" s="76"/>
      <c r="T346" s="8"/>
      <c r="U346" s="1011"/>
      <c r="V346" s="8"/>
      <c r="W346" s="8"/>
      <c r="X346" s="1011"/>
      <c r="Z346" s="143"/>
      <c r="AA346" s="316"/>
      <c r="AB346" s="45"/>
      <c r="AC346" s="8"/>
      <c r="AD346" s="8"/>
      <c r="AE346" s="25"/>
      <c r="AF346" s="1050"/>
      <c r="AG346" s="1039"/>
      <c r="AZ346" s="143"/>
    </row>
    <row r="347" spans="2:52">
      <c r="B347" s="86"/>
      <c r="C347" s="28"/>
      <c r="D347" s="164"/>
      <c r="E347" s="29"/>
      <c r="F347" s="29"/>
      <c r="G347" s="263"/>
      <c r="H347" s="8"/>
      <c r="I347" s="8"/>
      <c r="J347" s="8"/>
      <c r="K347" s="7"/>
      <c r="L347" s="324"/>
      <c r="M347" s="38"/>
      <c r="N347" s="29"/>
      <c r="O347" s="9"/>
      <c r="P347" s="9"/>
      <c r="Q347" s="9"/>
      <c r="R347" s="9"/>
      <c r="S347" s="76"/>
      <c r="T347" s="8"/>
      <c r="U347" s="1011"/>
      <c r="V347" s="8"/>
      <c r="W347" s="8"/>
      <c r="X347" s="1011"/>
      <c r="Z347" s="143"/>
      <c r="AA347" s="316"/>
      <c r="AB347" s="45"/>
      <c r="AC347" s="8"/>
      <c r="AD347" s="8"/>
      <c r="AE347" s="25"/>
      <c r="AF347" s="1050"/>
      <c r="AG347" s="1039"/>
      <c r="AZ347" s="143"/>
    </row>
    <row r="348" spans="2:52">
      <c r="B348" s="86"/>
      <c r="C348" s="28"/>
      <c r="D348" s="164"/>
      <c r="E348" s="29"/>
      <c r="F348" s="29"/>
      <c r="G348" s="263"/>
      <c r="H348" s="8"/>
      <c r="I348" s="8"/>
      <c r="J348" s="8"/>
      <c r="K348" s="7"/>
      <c r="L348" s="324"/>
      <c r="M348" s="38"/>
      <c r="N348" s="29"/>
      <c r="O348" s="9"/>
      <c r="P348" s="9"/>
      <c r="Q348" s="9"/>
      <c r="R348" s="9"/>
      <c r="S348" s="76"/>
      <c r="T348" s="8"/>
      <c r="U348" s="1011"/>
      <c r="V348" s="8"/>
      <c r="W348" s="8"/>
      <c r="X348" s="1011"/>
      <c r="Z348" s="143"/>
      <c r="AA348" s="316"/>
      <c r="AB348" s="45"/>
      <c r="AC348" s="8"/>
      <c r="AD348" s="8"/>
      <c r="AE348" s="25"/>
      <c r="AF348" s="1050"/>
      <c r="AG348" s="1039"/>
      <c r="AZ348" s="143"/>
    </row>
    <row r="349" spans="2:52">
      <c r="B349" s="86"/>
      <c r="C349" s="28"/>
      <c r="D349" s="164"/>
      <c r="E349" s="29"/>
      <c r="F349" s="29"/>
      <c r="G349" s="263"/>
      <c r="H349" s="8"/>
      <c r="I349" s="8"/>
      <c r="J349" s="8"/>
      <c r="K349" s="7"/>
      <c r="L349" s="324"/>
      <c r="M349" s="38"/>
      <c r="N349" s="29"/>
      <c r="O349" s="9"/>
      <c r="P349" s="9"/>
      <c r="Q349" s="9"/>
      <c r="R349" s="9"/>
      <c r="S349" s="76"/>
      <c r="T349" s="8"/>
      <c r="U349" s="1011"/>
      <c r="V349" s="8"/>
      <c r="W349" s="8"/>
      <c r="X349" s="1011"/>
      <c r="Z349" s="143"/>
      <c r="AA349" s="316"/>
      <c r="AB349" s="45"/>
      <c r="AC349" s="8"/>
      <c r="AD349" s="8"/>
      <c r="AE349" s="25"/>
      <c r="AF349" s="1050"/>
      <c r="AG349" s="1039"/>
      <c r="AZ349" s="143"/>
    </row>
    <row r="350" spans="2:52">
      <c r="B350" s="86"/>
      <c r="C350" s="28"/>
      <c r="D350" s="164"/>
      <c r="E350" s="29"/>
      <c r="F350" s="29"/>
      <c r="G350" s="263"/>
      <c r="H350" s="8"/>
      <c r="I350" s="8"/>
      <c r="J350" s="8"/>
      <c r="K350" s="7"/>
      <c r="L350" s="324"/>
      <c r="M350" s="38"/>
      <c r="N350" s="29"/>
      <c r="O350" s="9"/>
      <c r="P350" s="9"/>
      <c r="Q350" s="9"/>
      <c r="R350" s="9"/>
      <c r="S350" s="76"/>
      <c r="T350" s="8"/>
      <c r="U350" s="1011"/>
      <c r="V350" s="8"/>
      <c r="W350" s="8"/>
      <c r="X350" s="1011"/>
      <c r="Z350" s="143"/>
      <c r="AA350" s="316"/>
      <c r="AB350" s="45"/>
      <c r="AC350" s="8"/>
      <c r="AD350" s="8"/>
      <c r="AE350" s="25"/>
      <c r="AF350" s="1050"/>
      <c r="AG350" s="1039"/>
      <c r="AZ350" s="143"/>
    </row>
    <row r="351" spans="2:52">
      <c r="B351" s="86"/>
      <c r="C351" s="28"/>
      <c r="D351" s="164"/>
      <c r="E351" s="29"/>
      <c r="F351" s="29"/>
      <c r="G351" s="263"/>
      <c r="H351" s="8"/>
      <c r="I351" s="8"/>
      <c r="J351" s="8"/>
      <c r="K351" s="7"/>
      <c r="L351" s="324"/>
      <c r="M351" s="38"/>
      <c r="N351" s="29"/>
      <c r="O351" s="9"/>
      <c r="P351" s="9"/>
      <c r="Q351" s="9"/>
      <c r="R351" s="9"/>
      <c r="S351" s="76"/>
      <c r="T351" s="8"/>
      <c r="U351" s="1011"/>
      <c r="V351" s="8"/>
      <c r="W351" s="8"/>
      <c r="X351" s="1011"/>
      <c r="Z351" s="143"/>
      <c r="AA351" s="316"/>
      <c r="AB351" s="45"/>
      <c r="AC351" s="8"/>
      <c r="AD351" s="8"/>
      <c r="AE351" s="25"/>
      <c r="AF351" s="1050"/>
      <c r="AG351" s="1039"/>
      <c r="AZ351" s="143"/>
    </row>
    <row r="352" spans="2:52">
      <c r="B352" s="86"/>
      <c r="C352" s="28"/>
      <c r="D352" s="164"/>
      <c r="E352" s="29"/>
      <c r="F352" s="29"/>
      <c r="G352" s="263"/>
      <c r="H352" s="8"/>
      <c r="I352" s="8"/>
      <c r="J352" s="8"/>
      <c r="K352" s="7"/>
      <c r="L352" s="324"/>
      <c r="M352" s="38"/>
      <c r="N352" s="29"/>
      <c r="O352" s="9"/>
      <c r="P352" s="9"/>
      <c r="Q352" s="9"/>
      <c r="R352" s="9"/>
      <c r="S352" s="76"/>
      <c r="T352" s="8"/>
      <c r="U352" s="1011"/>
      <c r="V352" s="8"/>
      <c r="W352" s="8"/>
      <c r="X352" s="1011"/>
      <c r="Z352" s="143"/>
      <c r="AA352" s="316"/>
      <c r="AB352" s="45"/>
      <c r="AC352" s="8"/>
      <c r="AD352" s="8"/>
      <c r="AE352" s="25"/>
      <c r="AF352" s="1050"/>
      <c r="AG352" s="1039"/>
      <c r="AZ352" s="143"/>
    </row>
    <row r="353" spans="2:52">
      <c r="B353" s="86"/>
      <c r="C353" s="28"/>
      <c r="D353" s="164"/>
      <c r="E353" s="29"/>
      <c r="F353" s="29"/>
      <c r="G353" s="263"/>
      <c r="H353" s="8"/>
      <c r="I353" s="8"/>
      <c r="J353" s="8"/>
      <c r="K353" s="7"/>
      <c r="L353" s="324"/>
      <c r="M353" s="38"/>
      <c r="N353" s="29"/>
      <c r="O353" s="9"/>
      <c r="P353" s="9"/>
      <c r="Q353" s="9"/>
      <c r="R353" s="9"/>
      <c r="S353" s="76"/>
      <c r="T353" s="8"/>
      <c r="U353" s="1011"/>
      <c r="V353" s="8"/>
      <c r="W353" s="8"/>
      <c r="X353" s="1011"/>
      <c r="Z353" s="143"/>
      <c r="AA353" s="316"/>
      <c r="AB353" s="45"/>
      <c r="AC353" s="8"/>
      <c r="AD353" s="8"/>
      <c r="AE353" s="25"/>
      <c r="AF353" s="1050"/>
      <c r="AG353" s="1039"/>
      <c r="AZ353" s="143"/>
    </row>
    <row r="354" spans="2:52">
      <c r="B354" s="86"/>
      <c r="C354" s="28"/>
      <c r="D354" s="164"/>
      <c r="E354" s="29"/>
      <c r="F354" s="29"/>
      <c r="G354" s="263"/>
      <c r="H354" s="8"/>
      <c r="I354" s="8"/>
      <c r="J354" s="8"/>
      <c r="K354" s="7"/>
      <c r="L354" s="324"/>
      <c r="M354" s="38"/>
      <c r="N354" s="29"/>
      <c r="O354" s="9"/>
      <c r="P354" s="9"/>
      <c r="Q354" s="9"/>
      <c r="R354" s="9"/>
      <c r="S354" s="76"/>
      <c r="T354" s="8"/>
      <c r="U354" s="1011"/>
      <c r="V354" s="8"/>
      <c r="W354" s="8"/>
      <c r="X354" s="1011"/>
      <c r="Z354" s="143"/>
      <c r="AA354" s="316"/>
      <c r="AB354" s="45"/>
      <c r="AC354" s="8"/>
      <c r="AD354" s="8"/>
      <c r="AE354" s="25"/>
      <c r="AF354" s="1050"/>
      <c r="AG354" s="1039"/>
      <c r="AZ354" s="143"/>
    </row>
    <row r="355" spans="2:52">
      <c r="B355" s="86"/>
      <c r="C355" s="28"/>
      <c r="D355" s="164"/>
      <c r="E355" s="29"/>
      <c r="F355" s="29"/>
      <c r="G355" s="263"/>
      <c r="H355" s="8"/>
      <c r="I355" s="8"/>
      <c r="J355" s="8"/>
      <c r="K355" s="7"/>
      <c r="L355" s="324"/>
      <c r="M355" s="38"/>
      <c r="N355" s="29"/>
      <c r="O355" s="9"/>
      <c r="P355" s="9"/>
      <c r="Q355" s="9"/>
      <c r="R355" s="9"/>
      <c r="S355" s="76"/>
      <c r="T355" s="8"/>
      <c r="U355" s="1011"/>
      <c r="V355" s="8"/>
      <c r="W355" s="8"/>
      <c r="X355" s="1011"/>
      <c r="Z355" s="143"/>
      <c r="AA355" s="316"/>
      <c r="AB355" s="45"/>
      <c r="AC355" s="8"/>
      <c r="AD355" s="8"/>
      <c r="AE355" s="25"/>
      <c r="AF355" s="1050"/>
      <c r="AG355" s="1039"/>
      <c r="AZ355" s="143"/>
    </row>
    <row r="356" spans="2:52">
      <c r="B356" s="86"/>
      <c r="C356" s="28"/>
      <c r="D356" s="164"/>
      <c r="E356" s="29"/>
      <c r="F356" s="29"/>
      <c r="G356" s="263"/>
      <c r="H356" s="8"/>
      <c r="I356" s="8"/>
      <c r="J356" s="8"/>
      <c r="K356" s="7"/>
      <c r="L356" s="324"/>
      <c r="M356" s="38"/>
      <c r="N356" s="29"/>
      <c r="O356" s="9"/>
      <c r="P356" s="9"/>
      <c r="Q356" s="9"/>
      <c r="R356" s="9"/>
      <c r="S356" s="76"/>
      <c r="T356" s="8"/>
      <c r="U356" s="1011"/>
      <c r="V356" s="8"/>
      <c r="W356" s="8"/>
      <c r="X356" s="1011"/>
      <c r="Z356" s="143"/>
      <c r="AA356" s="316"/>
      <c r="AB356" s="45"/>
      <c r="AC356" s="8"/>
      <c r="AD356" s="8"/>
      <c r="AE356" s="25"/>
      <c r="AF356" s="1050"/>
      <c r="AG356" s="1039"/>
      <c r="AZ356" s="143"/>
    </row>
    <row r="357" spans="2:52">
      <c r="B357" s="86"/>
      <c r="C357" s="28"/>
      <c r="D357" s="164"/>
      <c r="E357" s="29"/>
      <c r="F357" s="29"/>
      <c r="G357" s="263"/>
      <c r="H357" s="8"/>
      <c r="I357" s="8"/>
      <c r="J357" s="8"/>
      <c r="K357" s="7"/>
      <c r="L357" s="324"/>
      <c r="M357" s="38"/>
      <c r="N357" s="29"/>
      <c r="O357" s="9"/>
      <c r="P357" s="9"/>
      <c r="Q357" s="9"/>
      <c r="R357" s="9"/>
      <c r="S357" s="76"/>
      <c r="T357" s="8"/>
      <c r="U357" s="1011"/>
      <c r="V357" s="8"/>
      <c r="W357" s="8"/>
      <c r="X357" s="1011"/>
      <c r="Z357" s="143"/>
      <c r="AA357" s="316"/>
      <c r="AB357" s="45"/>
      <c r="AC357" s="8"/>
      <c r="AD357" s="8"/>
      <c r="AE357" s="25"/>
      <c r="AF357" s="1050"/>
      <c r="AG357" s="1039"/>
      <c r="AZ357" s="143"/>
    </row>
    <row r="358" spans="2:52">
      <c r="B358" s="86"/>
      <c r="C358" s="28"/>
      <c r="D358" s="164"/>
      <c r="E358" s="29"/>
      <c r="F358" s="29"/>
      <c r="G358" s="263"/>
      <c r="H358" s="8"/>
      <c r="I358" s="8"/>
      <c r="J358" s="8"/>
      <c r="K358" s="7"/>
      <c r="L358" s="324"/>
      <c r="M358" s="38"/>
      <c r="N358" s="29"/>
      <c r="O358" s="9"/>
      <c r="P358" s="9"/>
      <c r="Q358" s="9"/>
      <c r="R358" s="9"/>
      <c r="S358" s="76"/>
      <c r="T358" s="8"/>
      <c r="U358" s="1011"/>
      <c r="V358" s="8"/>
      <c r="W358" s="8"/>
      <c r="X358" s="1011"/>
      <c r="Z358" s="143"/>
      <c r="AA358" s="316"/>
      <c r="AB358" s="45"/>
      <c r="AC358" s="8"/>
      <c r="AD358" s="8"/>
      <c r="AE358" s="25"/>
      <c r="AF358" s="1050"/>
      <c r="AG358" s="1039"/>
      <c r="AZ358" s="143"/>
    </row>
    <row r="359" spans="2:52">
      <c r="B359" s="86"/>
      <c r="C359" s="28"/>
      <c r="D359" s="164"/>
      <c r="E359" s="29"/>
      <c r="F359" s="29"/>
      <c r="G359" s="263"/>
      <c r="H359" s="8"/>
      <c r="I359" s="8"/>
      <c r="J359" s="8"/>
      <c r="K359" s="7"/>
      <c r="L359" s="324"/>
      <c r="M359" s="38"/>
      <c r="N359" s="29"/>
      <c r="O359" s="9"/>
      <c r="P359" s="9"/>
      <c r="Q359" s="9"/>
      <c r="R359" s="9"/>
      <c r="S359" s="76"/>
      <c r="T359" s="8"/>
      <c r="U359" s="1011"/>
      <c r="V359" s="8"/>
      <c r="W359" s="8"/>
      <c r="X359" s="1011"/>
      <c r="Z359" s="143"/>
      <c r="AA359" s="316"/>
      <c r="AB359" s="45"/>
      <c r="AC359" s="8"/>
      <c r="AD359" s="8"/>
      <c r="AE359" s="25"/>
      <c r="AF359" s="1050"/>
      <c r="AG359" s="1039"/>
      <c r="AZ359" s="143"/>
    </row>
    <row r="360" spans="2:52">
      <c r="B360" s="86"/>
      <c r="C360" s="28"/>
      <c r="D360" s="164"/>
      <c r="E360" s="29"/>
      <c r="F360" s="29"/>
      <c r="G360" s="263"/>
      <c r="H360" s="8"/>
      <c r="I360" s="8"/>
      <c r="J360" s="8"/>
      <c r="K360" s="7"/>
      <c r="L360" s="324"/>
      <c r="M360" s="38"/>
      <c r="N360" s="29"/>
      <c r="O360" s="9"/>
      <c r="P360" s="9"/>
      <c r="Q360" s="9"/>
      <c r="R360" s="9"/>
      <c r="S360" s="76"/>
      <c r="T360" s="8"/>
      <c r="U360" s="1011"/>
      <c r="V360" s="8"/>
      <c r="W360" s="8"/>
      <c r="X360" s="1011"/>
      <c r="Z360" s="143"/>
      <c r="AA360" s="316"/>
      <c r="AB360" s="45"/>
      <c r="AC360" s="8"/>
      <c r="AD360" s="8"/>
      <c r="AE360" s="25"/>
      <c r="AF360" s="1050"/>
      <c r="AG360" s="1039"/>
      <c r="AZ360" s="143"/>
    </row>
    <row r="361" spans="2:52">
      <c r="B361" s="86"/>
      <c r="C361" s="28"/>
      <c r="D361" s="164"/>
      <c r="E361" s="29"/>
      <c r="F361" s="29"/>
      <c r="G361" s="263"/>
      <c r="H361" s="8"/>
      <c r="I361" s="8"/>
      <c r="J361" s="8"/>
      <c r="K361" s="7"/>
      <c r="L361" s="324"/>
      <c r="M361" s="38"/>
      <c r="N361" s="29"/>
      <c r="O361" s="9"/>
      <c r="P361" s="9"/>
      <c r="Q361" s="9"/>
      <c r="R361" s="9"/>
      <c r="S361" s="76"/>
      <c r="T361" s="8"/>
      <c r="U361" s="1011"/>
      <c r="V361" s="8"/>
      <c r="W361" s="8"/>
      <c r="X361" s="1011"/>
      <c r="Z361" s="143"/>
      <c r="AA361" s="316"/>
      <c r="AB361" s="45"/>
      <c r="AC361" s="8"/>
      <c r="AD361" s="8"/>
      <c r="AE361" s="25"/>
      <c r="AF361" s="1050"/>
      <c r="AG361" s="1039"/>
      <c r="AZ361" s="143"/>
    </row>
    <row r="362" spans="2:52">
      <c r="B362" s="86"/>
      <c r="C362" s="28"/>
      <c r="D362" s="164"/>
      <c r="E362" s="29"/>
      <c r="F362" s="29"/>
      <c r="G362" s="263"/>
      <c r="H362" s="8"/>
      <c r="I362" s="8"/>
      <c r="J362" s="8"/>
      <c r="K362" s="7"/>
      <c r="L362" s="324"/>
      <c r="M362" s="38"/>
      <c r="N362" s="29"/>
      <c r="O362" s="9"/>
      <c r="P362" s="9"/>
      <c r="Q362" s="9"/>
      <c r="R362" s="9"/>
      <c r="S362" s="76"/>
      <c r="T362" s="8"/>
      <c r="U362" s="1011"/>
      <c r="V362" s="8"/>
      <c r="W362" s="8"/>
      <c r="X362" s="1011"/>
      <c r="Z362" s="143"/>
      <c r="AA362" s="316"/>
      <c r="AB362" s="45"/>
      <c r="AC362" s="8"/>
      <c r="AD362" s="8"/>
      <c r="AE362" s="25"/>
      <c r="AF362" s="1050"/>
      <c r="AG362" s="1039"/>
      <c r="AZ362" s="143"/>
    </row>
    <row r="363" spans="2:52">
      <c r="B363" s="86"/>
      <c r="C363" s="28"/>
      <c r="D363" s="164"/>
      <c r="E363" s="29"/>
      <c r="F363" s="29"/>
      <c r="G363" s="263"/>
      <c r="H363" s="8"/>
      <c r="I363" s="8"/>
      <c r="J363" s="8"/>
      <c r="K363" s="7"/>
      <c r="L363" s="324"/>
      <c r="M363" s="38"/>
      <c r="N363" s="29"/>
      <c r="O363" s="9"/>
      <c r="P363" s="9"/>
      <c r="Q363" s="9"/>
      <c r="R363" s="9"/>
      <c r="S363" s="76"/>
      <c r="T363" s="8"/>
      <c r="U363" s="1011"/>
      <c r="V363" s="8"/>
      <c r="W363" s="8"/>
      <c r="X363" s="1011"/>
      <c r="Z363" s="143"/>
      <c r="AA363" s="316"/>
      <c r="AB363" s="45"/>
      <c r="AC363" s="8"/>
      <c r="AD363" s="8"/>
      <c r="AE363" s="25"/>
      <c r="AF363" s="1050"/>
      <c r="AG363" s="1039"/>
      <c r="AZ363" s="143"/>
    </row>
    <row r="364" spans="2:52">
      <c r="B364" s="86"/>
      <c r="C364" s="28"/>
      <c r="D364" s="164"/>
      <c r="E364" s="29"/>
      <c r="F364" s="29"/>
      <c r="G364" s="263"/>
      <c r="H364" s="8"/>
      <c r="I364" s="8"/>
      <c r="J364" s="8"/>
      <c r="K364" s="7"/>
      <c r="L364" s="324"/>
      <c r="M364" s="38"/>
      <c r="N364" s="29"/>
      <c r="O364" s="9"/>
      <c r="P364" s="9"/>
      <c r="Q364" s="9"/>
      <c r="R364" s="9"/>
      <c r="S364" s="76"/>
      <c r="T364" s="8"/>
      <c r="U364" s="1011"/>
      <c r="V364" s="8"/>
      <c r="W364" s="8"/>
      <c r="X364" s="1011"/>
      <c r="Z364" s="143"/>
      <c r="AA364" s="316"/>
      <c r="AB364" s="45"/>
      <c r="AC364" s="8"/>
      <c r="AD364" s="8"/>
      <c r="AE364" s="25"/>
      <c r="AF364" s="1050"/>
      <c r="AG364" s="1039"/>
      <c r="AZ364" s="143"/>
    </row>
    <row r="365" spans="2:52">
      <c r="B365" s="86"/>
      <c r="C365" s="28"/>
      <c r="D365" s="164"/>
      <c r="E365" s="29"/>
      <c r="F365" s="29"/>
      <c r="G365" s="263"/>
      <c r="H365" s="8"/>
      <c r="I365" s="8"/>
      <c r="J365" s="8"/>
      <c r="K365" s="7"/>
      <c r="L365" s="324"/>
      <c r="M365" s="38"/>
      <c r="N365" s="29"/>
      <c r="O365" s="9"/>
      <c r="P365" s="9"/>
      <c r="Q365" s="9"/>
      <c r="R365" s="9"/>
      <c r="S365" s="76"/>
      <c r="T365" s="8"/>
      <c r="U365" s="1011"/>
      <c r="V365" s="8"/>
      <c r="W365" s="8"/>
      <c r="X365" s="1011"/>
      <c r="Z365" s="143"/>
      <c r="AA365" s="316"/>
      <c r="AB365" s="45"/>
      <c r="AC365" s="8"/>
      <c r="AD365" s="8"/>
      <c r="AE365" s="25"/>
      <c r="AF365" s="1050"/>
      <c r="AG365" s="1039"/>
      <c r="AZ365" s="143"/>
    </row>
    <row r="366" spans="2:52">
      <c r="B366" s="86"/>
      <c r="C366" s="28"/>
      <c r="D366" s="164"/>
      <c r="E366" s="29"/>
      <c r="F366" s="29"/>
      <c r="G366" s="263"/>
      <c r="H366" s="8"/>
      <c r="I366" s="8"/>
      <c r="J366" s="8"/>
      <c r="K366" s="7"/>
      <c r="L366" s="324"/>
      <c r="M366" s="38"/>
      <c r="N366" s="29"/>
      <c r="O366" s="9"/>
      <c r="P366" s="9"/>
      <c r="Q366" s="9"/>
      <c r="R366" s="9"/>
      <c r="S366" s="76"/>
      <c r="T366" s="8"/>
      <c r="U366" s="1011"/>
      <c r="V366" s="8"/>
      <c r="W366" s="8"/>
      <c r="X366" s="1011"/>
      <c r="Z366" s="143"/>
      <c r="AA366" s="316"/>
      <c r="AB366" s="45"/>
      <c r="AC366" s="8"/>
      <c r="AD366" s="8"/>
      <c r="AE366" s="25"/>
      <c r="AF366" s="1050"/>
      <c r="AG366" s="1039"/>
      <c r="AZ366" s="143"/>
    </row>
    <row r="367" spans="2:52">
      <c r="B367" s="86"/>
      <c r="C367" s="28"/>
      <c r="D367" s="164"/>
      <c r="E367" s="29"/>
      <c r="F367" s="29"/>
      <c r="G367" s="263"/>
      <c r="H367" s="8"/>
      <c r="I367" s="8"/>
      <c r="J367" s="8"/>
      <c r="K367" s="7"/>
      <c r="L367" s="324"/>
      <c r="M367" s="38"/>
      <c r="N367" s="29"/>
      <c r="O367" s="9"/>
      <c r="P367" s="9"/>
      <c r="Q367" s="9"/>
      <c r="R367" s="9"/>
      <c r="S367" s="76"/>
      <c r="T367" s="8"/>
      <c r="U367" s="1011"/>
      <c r="V367" s="8"/>
      <c r="W367" s="8"/>
      <c r="X367" s="1011"/>
      <c r="Z367" s="143"/>
      <c r="AA367" s="316"/>
      <c r="AB367" s="45"/>
      <c r="AC367" s="8"/>
      <c r="AD367" s="8"/>
      <c r="AE367" s="25"/>
      <c r="AF367" s="1050"/>
      <c r="AG367" s="1039"/>
      <c r="AZ367" s="143"/>
    </row>
    <row r="368" spans="2:52">
      <c r="B368" s="86"/>
      <c r="C368" s="28"/>
      <c r="D368" s="164"/>
      <c r="E368" s="29"/>
      <c r="F368" s="29"/>
      <c r="G368" s="263"/>
      <c r="H368" s="8"/>
      <c r="I368" s="8"/>
      <c r="J368" s="8"/>
      <c r="K368" s="7"/>
      <c r="L368" s="324"/>
      <c r="M368" s="38"/>
      <c r="N368" s="29"/>
      <c r="O368" s="9"/>
      <c r="P368" s="9"/>
      <c r="Q368" s="9"/>
      <c r="R368" s="9"/>
      <c r="S368" s="76"/>
      <c r="T368" s="8"/>
      <c r="U368" s="1011"/>
      <c r="V368" s="8"/>
      <c r="W368" s="8"/>
      <c r="X368" s="1011"/>
      <c r="Z368" s="143"/>
      <c r="AA368" s="316"/>
      <c r="AB368" s="45"/>
      <c r="AC368" s="8"/>
      <c r="AD368" s="8"/>
      <c r="AE368" s="25"/>
      <c r="AF368" s="1050"/>
      <c r="AG368" s="1039"/>
      <c r="AZ368" s="143"/>
    </row>
    <row r="369" spans="2:52">
      <c r="B369" s="86"/>
      <c r="C369" s="28"/>
      <c r="D369" s="164"/>
      <c r="E369" s="29"/>
      <c r="F369" s="29"/>
      <c r="G369" s="263"/>
      <c r="H369" s="8"/>
      <c r="I369" s="8"/>
      <c r="J369" s="8"/>
      <c r="K369" s="7"/>
      <c r="L369" s="324"/>
      <c r="M369" s="38"/>
      <c r="N369" s="29"/>
      <c r="O369" s="9"/>
      <c r="P369" s="9"/>
      <c r="Q369" s="9"/>
      <c r="R369" s="9"/>
      <c r="S369" s="76"/>
      <c r="T369" s="8"/>
      <c r="U369" s="1011"/>
      <c r="V369" s="8"/>
      <c r="W369" s="8"/>
      <c r="X369" s="1011"/>
      <c r="Z369" s="143"/>
      <c r="AA369" s="316"/>
      <c r="AB369" s="45"/>
      <c r="AC369" s="8"/>
      <c r="AD369" s="8"/>
      <c r="AE369" s="25"/>
      <c r="AF369" s="1050"/>
      <c r="AG369" s="1039"/>
      <c r="AZ369" s="143"/>
    </row>
    <row r="370" spans="2:52">
      <c r="B370" s="86"/>
      <c r="C370" s="28"/>
      <c r="D370" s="164"/>
      <c r="E370" s="29"/>
      <c r="F370" s="29"/>
      <c r="G370" s="263"/>
      <c r="H370" s="8"/>
      <c r="I370" s="8"/>
      <c r="J370" s="8"/>
      <c r="K370" s="7"/>
      <c r="L370" s="324"/>
      <c r="M370" s="38"/>
      <c r="N370" s="29"/>
      <c r="O370" s="9"/>
      <c r="P370" s="9"/>
      <c r="Q370" s="9"/>
      <c r="R370" s="9"/>
      <c r="S370" s="76"/>
      <c r="T370" s="8"/>
      <c r="U370" s="1011"/>
      <c r="V370" s="8"/>
      <c r="W370" s="8"/>
      <c r="X370" s="1011"/>
      <c r="Z370" s="143"/>
      <c r="AA370" s="316"/>
      <c r="AB370" s="45"/>
      <c r="AC370" s="8"/>
      <c r="AD370" s="8"/>
      <c r="AE370" s="25"/>
      <c r="AF370" s="1050"/>
      <c r="AG370" s="1039"/>
      <c r="AZ370" s="143"/>
    </row>
    <row r="371" spans="2:52">
      <c r="B371" s="86"/>
      <c r="C371" s="28"/>
      <c r="D371" s="164"/>
      <c r="E371" s="29"/>
      <c r="F371" s="29"/>
      <c r="G371" s="263"/>
      <c r="H371" s="8"/>
      <c r="I371" s="8"/>
      <c r="J371" s="8"/>
      <c r="K371" s="7"/>
      <c r="L371" s="324"/>
      <c r="M371" s="38"/>
      <c r="N371" s="29"/>
      <c r="O371" s="9"/>
      <c r="P371" s="9"/>
      <c r="Q371" s="9"/>
      <c r="R371" s="9"/>
      <c r="S371" s="76"/>
      <c r="T371" s="8"/>
      <c r="U371" s="1011"/>
      <c r="V371" s="8"/>
      <c r="W371" s="8"/>
      <c r="X371" s="1011"/>
      <c r="Z371" s="143"/>
      <c r="AA371" s="316"/>
      <c r="AB371" s="45"/>
      <c r="AC371" s="8"/>
      <c r="AD371" s="8"/>
      <c r="AE371" s="25"/>
      <c r="AF371" s="1050"/>
      <c r="AG371" s="1039"/>
      <c r="AZ371" s="143"/>
    </row>
    <row r="372" spans="2:52">
      <c r="B372" s="86"/>
      <c r="C372" s="28"/>
      <c r="D372" s="164"/>
      <c r="E372" s="29"/>
      <c r="F372" s="29"/>
      <c r="G372" s="263"/>
      <c r="H372" s="8"/>
      <c r="I372" s="8"/>
      <c r="J372" s="8"/>
      <c r="K372" s="7"/>
      <c r="L372" s="324"/>
      <c r="M372" s="38"/>
      <c r="N372" s="29"/>
      <c r="O372" s="9"/>
      <c r="P372" s="9"/>
      <c r="Q372" s="9"/>
      <c r="R372" s="9"/>
      <c r="S372" s="76"/>
      <c r="T372" s="8"/>
      <c r="U372" s="1011"/>
      <c r="V372" s="8"/>
      <c r="W372" s="8"/>
      <c r="X372" s="1011"/>
      <c r="Z372" s="143"/>
      <c r="AA372" s="316"/>
      <c r="AB372" s="45"/>
      <c r="AC372" s="8"/>
      <c r="AD372" s="8"/>
      <c r="AE372" s="25"/>
      <c r="AF372" s="1050"/>
      <c r="AG372" s="1039"/>
      <c r="AZ372" s="143"/>
    </row>
    <row r="373" spans="2:52">
      <c r="B373" s="86"/>
      <c r="C373" s="28"/>
      <c r="D373" s="164"/>
      <c r="E373" s="29"/>
      <c r="F373" s="29"/>
      <c r="G373" s="263"/>
      <c r="H373" s="8"/>
      <c r="I373" s="8"/>
      <c r="J373" s="8"/>
      <c r="K373" s="7"/>
      <c r="L373" s="324"/>
      <c r="M373" s="38"/>
      <c r="N373" s="29"/>
      <c r="O373" s="9"/>
      <c r="P373" s="9"/>
      <c r="Q373" s="9"/>
      <c r="R373" s="9"/>
      <c r="S373" s="76"/>
      <c r="T373" s="8"/>
      <c r="U373" s="1011"/>
      <c r="V373" s="8"/>
      <c r="W373" s="8"/>
      <c r="X373" s="1011"/>
      <c r="Z373" s="143"/>
      <c r="AA373" s="316"/>
      <c r="AB373" s="45"/>
      <c r="AC373" s="8"/>
      <c r="AD373" s="8"/>
      <c r="AE373" s="25"/>
      <c r="AF373" s="1050"/>
      <c r="AG373" s="1039"/>
      <c r="AZ373" s="143"/>
    </row>
    <row r="374" spans="2:52">
      <c r="B374" s="86"/>
      <c r="C374" s="28"/>
      <c r="D374" s="164"/>
      <c r="E374" s="29"/>
      <c r="F374" s="29"/>
      <c r="G374" s="263"/>
      <c r="H374" s="8"/>
      <c r="I374" s="8"/>
      <c r="J374" s="8"/>
      <c r="K374" s="7"/>
      <c r="L374" s="324"/>
      <c r="M374" s="38"/>
      <c r="N374" s="29"/>
      <c r="O374" s="9"/>
      <c r="P374" s="9"/>
      <c r="Q374" s="9"/>
      <c r="R374" s="9"/>
      <c r="S374" s="76"/>
      <c r="T374" s="8"/>
      <c r="U374" s="1011"/>
      <c r="V374" s="8"/>
      <c r="W374" s="8"/>
      <c r="X374" s="1011"/>
      <c r="Z374" s="143"/>
      <c r="AA374" s="316"/>
      <c r="AB374" s="45"/>
      <c r="AC374" s="8"/>
      <c r="AD374" s="8"/>
      <c r="AE374" s="25"/>
      <c r="AF374" s="1050"/>
      <c r="AG374" s="1039"/>
      <c r="AZ374" s="143"/>
    </row>
    <row r="375" spans="2:52">
      <c r="B375" s="86"/>
      <c r="C375" s="28"/>
      <c r="D375" s="164"/>
      <c r="E375" s="29"/>
      <c r="F375" s="29"/>
      <c r="G375" s="263"/>
      <c r="H375" s="8"/>
      <c r="I375" s="8"/>
      <c r="J375" s="8"/>
      <c r="K375" s="7"/>
      <c r="L375" s="324"/>
      <c r="M375" s="38"/>
      <c r="N375" s="29"/>
      <c r="O375" s="9"/>
      <c r="P375" s="9"/>
      <c r="Q375" s="9"/>
      <c r="R375" s="9"/>
      <c r="S375" s="76"/>
      <c r="T375" s="8"/>
      <c r="U375" s="1011"/>
      <c r="V375" s="8"/>
      <c r="W375" s="8"/>
      <c r="X375" s="1011"/>
      <c r="Z375" s="143"/>
      <c r="AA375" s="316"/>
      <c r="AB375" s="45"/>
      <c r="AC375" s="8"/>
      <c r="AD375" s="8"/>
      <c r="AE375" s="25"/>
      <c r="AF375" s="1050"/>
      <c r="AG375" s="1039"/>
      <c r="AZ375" s="143"/>
    </row>
    <row r="376" spans="2:52">
      <c r="B376" s="86"/>
      <c r="C376" s="28"/>
      <c r="D376" s="164"/>
      <c r="E376" s="29"/>
      <c r="F376" s="29"/>
      <c r="G376" s="263"/>
      <c r="H376" s="8"/>
      <c r="I376" s="8"/>
      <c r="J376" s="8"/>
      <c r="K376" s="7"/>
      <c r="L376" s="324"/>
      <c r="M376" s="38"/>
      <c r="N376" s="29"/>
      <c r="O376" s="9"/>
      <c r="P376" s="9"/>
      <c r="Q376" s="9"/>
      <c r="R376" s="9"/>
      <c r="S376" s="76"/>
      <c r="T376" s="8"/>
      <c r="U376" s="1011"/>
      <c r="V376" s="8"/>
      <c r="W376" s="8"/>
      <c r="X376" s="1011"/>
      <c r="Z376" s="143"/>
      <c r="AA376" s="316"/>
      <c r="AB376" s="45"/>
      <c r="AC376" s="8"/>
      <c r="AD376" s="8"/>
      <c r="AE376" s="25"/>
      <c r="AF376" s="1050"/>
      <c r="AG376" s="1039"/>
      <c r="AZ376" s="143"/>
    </row>
    <row r="377" spans="2:52">
      <c r="B377" s="86"/>
      <c r="C377" s="28"/>
      <c r="D377" s="164"/>
      <c r="E377" s="29"/>
      <c r="F377" s="29"/>
      <c r="G377" s="263"/>
      <c r="H377" s="8"/>
      <c r="I377" s="8"/>
      <c r="J377" s="8"/>
      <c r="K377" s="7"/>
      <c r="L377" s="324"/>
      <c r="M377" s="38"/>
      <c r="N377" s="29"/>
      <c r="O377" s="9"/>
      <c r="P377" s="9"/>
      <c r="Q377" s="9"/>
      <c r="R377" s="9"/>
      <c r="S377" s="76"/>
      <c r="T377" s="8"/>
      <c r="U377" s="1011"/>
      <c r="V377" s="8"/>
      <c r="W377" s="8"/>
      <c r="X377" s="1011"/>
      <c r="Z377" s="143"/>
      <c r="AA377" s="316"/>
      <c r="AB377" s="45"/>
      <c r="AC377" s="8"/>
      <c r="AD377" s="8"/>
      <c r="AE377" s="25"/>
      <c r="AF377" s="1050"/>
      <c r="AG377" s="1039"/>
      <c r="AZ377" s="143"/>
    </row>
    <row r="378" spans="2:52">
      <c r="B378" s="86"/>
      <c r="C378" s="28"/>
      <c r="D378" s="164"/>
      <c r="E378" s="29"/>
      <c r="F378" s="29"/>
      <c r="G378" s="263"/>
      <c r="H378" s="8"/>
      <c r="I378" s="8"/>
      <c r="J378" s="8"/>
      <c r="K378" s="7"/>
      <c r="L378" s="324"/>
      <c r="M378" s="38"/>
      <c r="N378" s="29"/>
      <c r="O378" s="9"/>
      <c r="P378" s="9"/>
      <c r="Q378" s="9"/>
      <c r="R378" s="9"/>
      <c r="S378" s="76"/>
      <c r="T378" s="8"/>
      <c r="U378" s="1011"/>
      <c r="V378" s="8"/>
      <c r="W378" s="8"/>
      <c r="X378" s="1011"/>
      <c r="Z378" s="143"/>
      <c r="AA378" s="316"/>
      <c r="AB378" s="45"/>
      <c r="AC378" s="8"/>
      <c r="AD378" s="8"/>
      <c r="AE378" s="25"/>
      <c r="AF378" s="1050"/>
      <c r="AG378" s="1039"/>
      <c r="AZ378" s="143"/>
    </row>
    <row r="379" spans="2:52">
      <c r="B379" s="86"/>
      <c r="C379" s="28"/>
      <c r="D379" s="164"/>
      <c r="E379" s="29"/>
      <c r="F379" s="29"/>
      <c r="G379" s="263"/>
      <c r="H379" s="8"/>
      <c r="I379" s="8"/>
      <c r="J379" s="8"/>
      <c r="K379" s="7"/>
      <c r="L379" s="324"/>
      <c r="M379" s="38"/>
      <c r="N379" s="29"/>
      <c r="O379" s="9"/>
      <c r="P379" s="9"/>
      <c r="Q379" s="9"/>
      <c r="R379" s="9"/>
      <c r="S379" s="76"/>
      <c r="T379" s="8"/>
      <c r="U379" s="1011"/>
      <c r="V379" s="8"/>
      <c r="W379" s="8"/>
      <c r="X379" s="1011"/>
      <c r="Z379" s="143"/>
      <c r="AA379" s="316"/>
      <c r="AB379" s="45"/>
      <c r="AC379" s="8"/>
      <c r="AD379" s="8"/>
      <c r="AE379" s="25"/>
      <c r="AF379" s="1050"/>
      <c r="AG379" s="1039"/>
      <c r="AZ379" s="143"/>
    </row>
    <row r="380" spans="2:52">
      <c r="B380" s="86"/>
      <c r="C380" s="28"/>
      <c r="D380" s="164"/>
      <c r="E380" s="29"/>
      <c r="F380" s="29"/>
      <c r="G380" s="263"/>
      <c r="H380" s="8"/>
      <c r="I380" s="8"/>
      <c r="J380" s="8"/>
      <c r="K380" s="7"/>
      <c r="L380" s="324"/>
      <c r="M380" s="38"/>
      <c r="N380" s="29"/>
      <c r="O380" s="9"/>
      <c r="P380" s="9"/>
      <c r="Q380" s="9"/>
      <c r="R380" s="9"/>
      <c r="S380" s="76"/>
      <c r="T380" s="8"/>
      <c r="U380" s="1011"/>
      <c r="V380" s="8"/>
      <c r="W380" s="8"/>
      <c r="X380" s="1011"/>
      <c r="Z380" s="143"/>
      <c r="AA380" s="316"/>
      <c r="AB380" s="45"/>
      <c r="AC380" s="8"/>
      <c r="AD380" s="8"/>
      <c r="AE380" s="25"/>
      <c r="AF380" s="1050"/>
      <c r="AG380" s="1039"/>
      <c r="AZ380" s="143"/>
    </row>
    <row r="381" spans="2:52">
      <c r="B381" s="86"/>
      <c r="C381" s="28"/>
      <c r="D381" s="164"/>
      <c r="E381" s="29"/>
      <c r="F381" s="29"/>
      <c r="G381" s="263"/>
      <c r="H381" s="8"/>
      <c r="I381" s="8"/>
      <c r="J381" s="8"/>
      <c r="K381" s="7"/>
      <c r="L381" s="324"/>
      <c r="M381" s="38"/>
      <c r="N381" s="29"/>
      <c r="O381" s="9"/>
      <c r="P381" s="9"/>
      <c r="Q381" s="9"/>
      <c r="R381" s="9"/>
      <c r="S381" s="76"/>
      <c r="T381" s="8"/>
      <c r="U381" s="1011"/>
      <c r="V381" s="8"/>
      <c r="W381" s="8"/>
      <c r="X381" s="1011"/>
      <c r="Z381" s="143"/>
      <c r="AA381" s="316"/>
      <c r="AB381" s="45"/>
      <c r="AC381" s="8"/>
      <c r="AD381" s="8"/>
      <c r="AE381" s="25"/>
      <c r="AF381" s="1050"/>
      <c r="AG381" s="1039"/>
      <c r="AZ381" s="143"/>
    </row>
    <row r="382" spans="2:52">
      <c r="B382" s="86"/>
      <c r="C382" s="28"/>
      <c r="D382" s="164"/>
      <c r="E382" s="29"/>
      <c r="F382" s="29"/>
      <c r="G382" s="263"/>
      <c r="H382" s="8"/>
      <c r="I382" s="8"/>
      <c r="J382" s="8"/>
      <c r="K382" s="7"/>
      <c r="L382" s="324"/>
      <c r="M382" s="38"/>
      <c r="N382" s="29"/>
      <c r="O382" s="9"/>
      <c r="P382" s="9"/>
      <c r="Q382" s="9"/>
      <c r="R382" s="9"/>
      <c r="S382" s="76"/>
      <c r="T382" s="8"/>
      <c r="U382" s="1011"/>
      <c r="V382" s="8"/>
      <c r="W382" s="8"/>
      <c r="X382" s="1011"/>
      <c r="Z382" s="143"/>
      <c r="AA382" s="316"/>
      <c r="AB382" s="45"/>
      <c r="AC382" s="8"/>
      <c r="AD382" s="8"/>
      <c r="AE382" s="25"/>
      <c r="AF382" s="1050"/>
      <c r="AG382" s="1039"/>
      <c r="AZ382" s="143"/>
    </row>
    <row r="383" spans="2:52">
      <c r="B383" s="86"/>
      <c r="C383" s="28"/>
      <c r="D383" s="164"/>
      <c r="E383" s="29"/>
      <c r="F383" s="29"/>
      <c r="G383" s="263"/>
      <c r="H383" s="8"/>
      <c r="I383" s="8"/>
      <c r="J383" s="8"/>
      <c r="K383" s="7"/>
      <c r="L383" s="324"/>
      <c r="M383" s="38"/>
      <c r="N383" s="29"/>
      <c r="O383" s="9"/>
      <c r="P383" s="9"/>
      <c r="Q383" s="9"/>
      <c r="R383" s="9"/>
      <c r="S383" s="76"/>
      <c r="T383" s="8"/>
      <c r="U383" s="1011"/>
      <c r="V383" s="8"/>
      <c r="W383" s="8"/>
      <c r="X383" s="1011"/>
      <c r="Z383" s="143"/>
      <c r="AA383" s="316"/>
      <c r="AB383" s="45"/>
      <c r="AC383" s="8"/>
      <c r="AD383" s="8"/>
      <c r="AE383" s="25"/>
      <c r="AF383" s="1050"/>
      <c r="AG383" s="1039"/>
      <c r="AZ383" s="143"/>
    </row>
    <row r="384" spans="2:52">
      <c r="B384" s="86"/>
      <c r="C384" s="28"/>
      <c r="D384" s="164"/>
      <c r="E384" s="29"/>
      <c r="F384" s="29"/>
      <c r="G384" s="263"/>
      <c r="H384" s="8"/>
      <c r="I384" s="8"/>
      <c r="J384" s="8"/>
      <c r="K384" s="7"/>
      <c r="L384" s="324"/>
      <c r="M384" s="38"/>
      <c r="N384" s="29"/>
      <c r="O384" s="9"/>
      <c r="P384" s="9"/>
      <c r="Q384" s="9"/>
      <c r="R384" s="9"/>
      <c r="S384" s="76"/>
      <c r="T384" s="8"/>
      <c r="U384" s="1011"/>
      <c r="V384" s="8"/>
      <c r="W384" s="8"/>
      <c r="X384" s="1011"/>
      <c r="Z384" s="143"/>
      <c r="AA384" s="316"/>
      <c r="AB384" s="45"/>
      <c r="AC384" s="8"/>
      <c r="AD384" s="8"/>
      <c r="AE384" s="25"/>
      <c r="AF384" s="1050"/>
      <c r="AG384" s="1039"/>
      <c r="AZ384" s="143"/>
    </row>
    <row r="385" spans="2:52">
      <c r="B385" s="86"/>
      <c r="C385" s="28"/>
      <c r="D385" s="164"/>
      <c r="E385" s="29"/>
      <c r="F385" s="29"/>
      <c r="G385" s="263"/>
      <c r="H385" s="8"/>
      <c r="I385" s="8"/>
      <c r="J385" s="8"/>
      <c r="K385" s="7"/>
      <c r="L385" s="324"/>
      <c r="M385" s="38"/>
      <c r="N385" s="29"/>
      <c r="O385" s="9"/>
      <c r="P385" s="9"/>
      <c r="Q385" s="9"/>
      <c r="R385" s="9"/>
      <c r="S385" s="76"/>
      <c r="T385" s="8"/>
      <c r="U385" s="1011"/>
      <c r="V385" s="8"/>
      <c r="W385" s="8"/>
      <c r="X385" s="1011"/>
      <c r="Z385" s="143"/>
      <c r="AA385" s="316"/>
      <c r="AB385" s="45"/>
      <c r="AC385" s="8"/>
      <c r="AD385" s="8"/>
      <c r="AE385" s="25"/>
      <c r="AF385" s="1050"/>
      <c r="AG385" s="1039"/>
      <c r="AZ385" s="143"/>
    </row>
    <row r="386" spans="2:52">
      <c r="B386" s="86"/>
      <c r="C386" s="28"/>
      <c r="D386" s="164"/>
      <c r="E386" s="29"/>
      <c r="F386" s="29"/>
      <c r="G386" s="263"/>
      <c r="H386" s="8"/>
      <c r="I386" s="8"/>
      <c r="J386" s="8"/>
      <c r="K386" s="7"/>
      <c r="L386" s="324"/>
      <c r="M386" s="38"/>
      <c r="N386" s="29"/>
      <c r="O386" s="9"/>
      <c r="P386" s="9"/>
      <c r="Q386" s="9"/>
      <c r="R386" s="9"/>
      <c r="S386" s="76"/>
      <c r="T386" s="8"/>
      <c r="U386" s="1011"/>
      <c r="V386" s="8"/>
      <c r="W386" s="8"/>
      <c r="X386" s="1011"/>
      <c r="Z386" s="143"/>
      <c r="AA386" s="316"/>
      <c r="AB386" s="45"/>
      <c r="AC386" s="8"/>
      <c r="AD386" s="8"/>
      <c r="AE386" s="25"/>
      <c r="AF386" s="1050"/>
      <c r="AG386" s="1039"/>
      <c r="AZ386" s="143"/>
    </row>
    <row r="387" spans="2:52">
      <c r="B387" s="86"/>
      <c r="C387" s="28"/>
      <c r="D387" s="164"/>
      <c r="E387" s="29"/>
      <c r="F387" s="29"/>
      <c r="G387" s="263"/>
      <c r="H387" s="8"/>
      <c r="I387" s="8"/>
      <c r="J387" s="8"/>
      <c r="K387" s="7"/>
      <c r="L387" s="324"/>
      <c r="M387" s="38"/>
      <c r="N387" s="29"/>
      <c r="O387" s="9"/>
      <c r="P387" s="9"/>
      <c r="Q387" s="9"/>
      <c r="R387" s="9"/>
      <c r="S387" s="76"/>
      <c r="T387" s="8"/>
      <c r="U387" s="1011"/>
      <c r="V387" s="8"/>
      <c r="W387" s="8"/>
      <c r="X387" s="1011"/>
      <c r="Z387" s="143"/>
      <c r="AA387" s="316"/>
      <c r="AB387" s="45"/>
      <c r="AC387" s="8"/>
      <c r="AD387" s="8"/>
      <c r="AE387" s="25"/>
      <c r="AF387" s="1050"/>
      <c r="AG387" s="1039"/>
      <c r="AZ387" s="143"/>
    </row>
    <row r="388" spans="2:52">
      <c r="B388" s="86"/>
      <c r="C388" s="28"/>
      <c r="D388" s="164"/>
      <c r="E388" s="29"/>
      <c r="F388" s="29"/>
      <c r="G388" s="263"/>
      <c r="H388" s="8"/>
      <c r="I388" s="8"/>
      <c r="J388" s="8"/>
      <c r="K388" s="7"/>
      <c r="L388" s="324"/>
      <c r="M388" s="38"/>
      <c r="N388" s="29"/>
      <c r="O388" s="9"/>
      <c r="P388" s="9"/>
      <c r="Q388" s="9"/>
      <c r="R388" s="9"/>
      <c r="S388" s="76"/>
      <c r="T388" s="8"/>
      <c r="U388" s="1011"/>
      <c r="V388" s="8"/>
      <c r="W388" s="8"/>
      <c r="X388" s="1011"/>
      <c r="Z388" s="143"/>
      <c r="AA388" s="316"/>
      <c r="AB388" s="45"/>
      <c r="AC388" s="8"/>
      <c r="AD388" s="8"/>
      <c r="AE388" s="25"/>
      <c r="AF388" s="1050"/>
      <c r="AG388" s="1039"/>
      <c r="AZ388" s="143"/>
    </row>
    <row r="389" spans="2:52">
      <c r="B389" s="86"/>
      <c r="C389" s="28"/>
      <c r="D389" s="164"/>
      <c r="E389" s="29"/>
      <c r="F389" s="29"/>
      <c r="G389" s="263"/>
      <c r="H389" s="8"/>
      <c r="I389" s="8"/>
      <c r="J389" s="8"/>
      <c r="K389" s="7"/>
      <c r="L389" s="324"/>
      <c r="M389" s="38"/>
      <c r="N389" s="29"/>
      <c r="O389" s="9"/>
      <c r="P389" s="9"/>
      <c r="Q389" s="9"/>
      <c r="R389" s="9"/>
      <c r="S389" s="76"/>
      <c r="T389" s="8"/>
      <c r="U389" s="1011"/>
      <c r="V389" s="8"/>
      <c r="W389" s="8"/>
      <c r="X389" s="1011"/>
      <c r="Z389" s="143"/>
      <c r="AA389" s="316"/>
      <c r="AB389" s="45"/>
      <c r="AC389" s="8"/>
      <c r="AD389" s="8"/>
      <c r="AE389" s="25"/>
      <c r="AF389" s="1050"/>
      <c r="AG389" s="1039"/>
      <c r="AZ389" s="143"/>
    </row>
    <row r="390" spans="2:52">
      <c r="B390" s="86"/>
      <c r="C390" s="28"/>
      <c r="D390" s="164"/>
      <c r="E390" s="29"/>
      <c r="F390" s="29"/>
      <c r="G390" s="263"/>
      <c r="H390" s="8"/>
      <c r="I390" s="8"/>
      <c r="J390" s="8"/>
      <c r="K390" s="7"/>
      <c r="L390" s="324"/>
      <c r="M390" s="38"/>
      <c r="N390" s="29"/>
      <c r="O390" s="9"/>
      <c r="P390" s="9"/>
      <c r="Q390" s="9"/>
      <c r="R390" s="9"/>
      <c r="S390" s="76"/>
      <c r="T390" s="8"/>
      <c r="U390" s="1011"/>
      <c r="V390" s="8"/>
      <c r="W390" s="8"/>
      <c r="X390" s="1011"/>
      <c r="Z390" s="143"/>
      <c r="AA390" s="316"/>
      <c r="AB390" s="45"/>
      <c r="AC390" s="8"/>
      <c r="AD390" s="8"/>
      <c r="AE390" s="25"/>
      <c r="AF390" s="1050"/>
      <c r="AG390" s="1039"/>
      <c r="AZ390" s="143"/>
    </row>
    <row r="391" spans="2:52">
      <c r="B391" s="86"/>
      <c r="C391" s="28"/>
      <c r="D391" s="164"/>
      <c r="E391" s="29"/>
      <c r="F391" s="29"/>
      <c r="G391" s="263"/>
      <c r="H391" s="8"/>
      <c r="I391" s="8"/>
      <c r="J391" s="8"/>
      <c r="K391" s="7"/>
      <c r="L391" s="324"/>
      <c r="M391" s="38"/>
      <c r="N391" s="29"/>
      <c r="O391" s="9"/>
      <c r="P391" s="9"/>
      <c r="Q391" s="9"/>
      <c r="R391" s="9"/>
      <c r="S391" s="76"/>
      <c r="T391" s="8"/>
      <c r="U391" s="1011"/>
      <c r="V391" s="8"/>
      <c r="W391" s="8"/>
      <c r="X391" s="1011"/>
      <c r="Z391" s="143"/>
      <c r="AA391" s="316"/>
      <c r="AB391" s="45"/>
      <c r="AC391" s="8"/>
      <c r="AD391" s="8"/>
      <c r="AE391" s="25"/>
      <c r="AF391" s="1050"/>
      <c r="AG391" s="1039"/>
      <c r="AZ391" s="143"/>
    </row>
    <row r="392" spans="2:52">
      <c r="B392" s="86"/>
      <c r="C392" s="28"/>
      <c r="D392" s="164"/>
      <c r="E392" s="29"/>
      <c r="F392" s="29"/>
      <c r="G392" s="263"/>
      <c r="H392" s="8"/>
      <c r="I392" s="8"/>
      <c r="J392" s="8"/>
      <c r="K392" s="7"/>
      <c r="L392" s="324"/>
      <c r="M392" s="38"/>
      <c r="N392" s="29"/>
      <c r="O392" s="9"/>
      <c r="P392" s="9"/>
      <c r="Q392" s="9"/>
      <c r="R392" s="9"/>
      <c r="S392" s="76"/>
      <c r="T392" s="8"/>
      <c r="U392" s="1011"/>
      <c r="V392" s="8"/>
      <c r="W392" s="8"/>
      <c r="X392" s="1011"/>
      <c r="Z392" s="143"/>
      <c r="AA392" s="316"/>
      <c r="AB392" s="45"/>
      <c r="AC392" s="8"/>
      <c r="AD392" s="8"/>
      <c r="AE392" s="25"/>
      <c r="AF392" s="1050"/>
      <c r="AG392" s="1039"/>
      <c r="AZ392" s="143"/>
    </row>
    <row r="393" spans="2:52">
      <c r="B393" s="86"/>
      <c r="C393" s="28"/>
      <c r="D393" s="164"/>
      <c r="E393" s="29"/>
      <c r="F393" s="29"/>
      <c r="G393" s="263"/>
      <c r="H393" s="8"/>
      <c r="I393" s="8"/>
      <c r="J393" s="8"/>
      <c r="K393" s="7"/>
      <c r="L393" s="324"/>
      <c r="M393" s="38"/>
      <c r="N393" s="29"/>
      <c r="O393" s="9"/>
      <c r="P393" s="9"/>
      <c r="Q393" s="9"/>
      <c r="R393" s="9"/>
      <c r="S393" s="76"/>
      <c r="T393" s="8"/>
      <c r="U393" s="1011"/>
      <c r="V393" s="8"/>
      <c r="W393" s="8"/>
      <c r="X393" s="1011"/>
      <c r="Z393" s="143"/>
      <c r="AA393" s="316"/>
      <c r="AB393" s="45"/>
      <c r="AC393" s="8"/>
      <c r="AD393" s="8"/>
      <c r="AE393" s="25"/>
      <c r="AF393" s="1050"/>
      <c r="AG393" s="1039"/>
      <c r="AZ393" s="143"/>
    </row>
    <row r="394" spans="2:52">
      <c r="B394" s="86"/>
      <c r="C394" s="28"/>
      <c r="D394" s="164"/>
      <c r="E394" s="29"/>
      <c r="F394" s="29"/>
      <c r="G394" s="263"/>
      <c r="H394" s="8"/>
      <c r="I394" s="8"/>
      <c r="J394" s="8"/>
      <c r="K394" s="7"/>
      <c r="L394" s="324"/>
      <c r="M394" s="38"/>
      <c r="N394" s="29"/>
      <c r="O394" s="9"/>
      <c r="P394" s="9"/>
      <c r="Q394" s="9"/>
      <c r="R394" s="9"/>
      <c r="S394" s="76"/>
      <c r="T394" s="8"/>
      <c r="U394" s="1011"/>
      <c r="V394" s="8"/>
      <c r="W394" s="8"/>
      <c r="X394" s="1011"/>
      <c r="Z394" s="143"/>
      <c r="AA394" s="316"/>
      <c r="AB394" s="45"/>
      <c r="AC394" s="8"/>
      <c r="AD394" s="8"/>
      <c r="AE394" s="25"/>
      <c r="AF394" s="1050"/>
      <c r="AG394" s="1039"/>
      <c r="AZ394" s="143"/>
    </row>
    <row r="395" spans="2:52">
      <c r="B395" s="86"/>
      <c r="C395" s="28"/>
      <c r="D395" s="164"/>
      <c r="E395" s="29"/>
      <c r="F395" s="29"/>
      <c r="G395" s="263"/>
      <c r="H395" s="8"/>
      <c r="I395" s="8"/>
      <c r="J395" s="8"/>
      <c r="K395" s="7"/>
      <c r="L395" s="324"/>
      <c r="M395" s="38"/>
      <c r="N395" s="29"/>
      <c r="O395" s="9"/>
      <c r="P395" s="9"/>
      <c r="Q395" s="9"/>
      <c r="R395" s="9"/>
      <c r="S395" s="76"/>
      <c r="T395" s="8"/>
      <c r="U395" s="1011"/>
      <c r="V395" s="8"/>
      <c r="W395" s="8"/>
      <c r="X395" s="1011"/>
      <c r="Z395" s="143"/>
      <c r="AA395" s="316"/>
      <c r="AB395" s="45"/>
      <c r="AC395" s="8"/>
      <c r="AD395" s="8"/>
      <c r="AE395" s="25"/>
      <c r="AF395" s="1050"/>
      <c r="AG395" s="1039"/>
      <c r="AZ395" s="143"/>
    </row>
    <row r="396" spans="2:52">
      <c r="B396" s="86"/>
      <c r="C396" s="28"/>
      <c r="D396" s="164"/>
      <c r="E396" s="29"/>
      <c r="F396" s="29"/>
      <c r="G396" s="263"/>
      <c r="H396" s="8"/>
      <c r="I396" s="8"/>
      <c r="J396" s="8"/>
      <c r="K396" s="7"/>
      <c r="L396" s="324"/>
      <c r="M396" s="38"/>
      <c r="N396" s="29"/>
      <c r="O396" s="9"/>
      <c r="P396" s="9"/>
      <c r="Q396" s="9"/>
      <c r="R396" s="9"/>
      <c r="S396" s="76"/>
      <c r="T396" s="8"/>
      <c r="U396" s="1011"/>
      <c r="V396" s="8"/>
      <c r="W396" s="8"/>
      <c r="X396" s="1011"/>
      <c r="Z396" s="143"/>
      <c r="AA396" s="316"/>
      <c r="AB396" s="45"/>
      <c r="AC396" s="8"/>
      <c r="AD396" s="8"/>
      <c r="AE396" s="25"/>
      <c r="AF396" s="1050"/>
      <c r="AG396" s="1039"/>
      <c r="AZ396" s="143"/>
    </row>
    <row r="397" spans="2:52">
      <c r="B397" s="86"/>
      <c r="C397" s="28"/>
      <c r="D397" s="164"/>
      <c r="E397" s="29"/>
      <c r="F397" s="29"/>
      <c r="G397" s="263"/>
      <c r="H397" s="8"/>
      <c r="I397" s="8"/>
      <c r="J397" s="8"/>
      <c r="K397" s="7"/>
      <c r="L397" s="324"/>
      <c r="M397" s="38"/>
      <c r="N397" s="29"/>
      <c r="O397" s="9"/>
      <c r="P397" s="9"/>
      <c r="Q397" s="9"/>
      <c r="R397" s="9"/>
      <c r="S397" s="76"/>
      <c r="T397" s="8"/>
      <c r="U397" s="1011"/>
      <c r="V397" s="8"/>
      <c r="W397" s="8"/>
      <c r="X397" s="1011"/>
      <c r="Z397" s="143"/>
      <c r="AA397" s="316"/>
      <c r="AB397" s="45"/>
      <c r="AC397" s="8"/>
      <c r="AD397" s="8"/>
      <c r="AE397" s="25"/>
      <c r="AF397" s="1050"/>
      <c r="AG397" s="1039"/>
      <c r="AZ397" s="143"/>
    </row>
    <row r="398" spans="2:52">
      <c r="B398" s="86"/>
      <c r="C398" s="28"/>
      <c r="D398" s="164"/>
      <c r="E398" s="29"/>
      <c r="F398" s="29"/>
      <c r="G398" s="263"/>
      <c r="H398" s="8"/>
      <c r="I398" s="8"/>
      <c r="J398" s="8"/>
      <c r="K398" s="7"/>
      <c r="L398" s="324"/>
      <c r="M398" s="38"/>
      <c r="N398" s="29"/>
      <c r="O398" s="9"/>
      <c r="P398" s="9"/>
      <c r="Q398" s="9"/>
      <c r="R398" s="9"/>
      <c r="S398" s="76"/>
      <c r="T398" s="8"/>
      <c r="U398" s="1011"/>
      <c r="V398" s="8"/>
      <c r="W398" s="8"/>
      <c r="X398" s="1011"/>
      <c r="Z398" s="143"/>
      <c r="AA398" s="316"/>
      <c r="AB398" s="45"/>
      <c r="AC398" s="8"/>
      <c r="AD398" s="8"/>
      <c r="AE398" s="25"/>
      <c r="AF398" s="1050"/>
      <c r="AG398" s="1039"/>
      <c r="AZ398" s="143"/>
    </row>
    <row r="399" spans="2:52">
      <c r="B399" s="86"/>
      <c r="C399" s="28"/>
      <c r="D399" s="164"/>
      <c r="E399" s="29"/>
      <c r="F399" s="29"/>
      <c r="G399" s="263"/>
      <c r="H399" s="8"/>
      <c r="I399" s="8"/>
      <c r="J399" s="8"/>
      <c r="K399" s="7"/>
      <c r="L399" s="324"/>
      <c r="M399" s="38"/>
      <c r="N399" s="29"/>
      <c r="O399" s="9"/>
      <c r="P399" s="9"/>
      <c r="Q399" s="9"/>
      <c r="R399" s="9"/>
      <c r="S399" s="76"/>
      <c r="T399" s="8"/>
      <c r="U399" s="1011"/>
      <c r="V399" s="8"/>
      <c r="W399" s="8"/>
      <c r="X399" s="1011"/>
      <c r="Z399" s="143"/>
      <c r="AA399" s="316"/>
      <c r="AB399" s="45"/>
      <c r="AC399" s="8"/>
      <c r="AD399" s="8"/>
      <c r="AE399" s="25"/>
      <c r="AF399" s="1050"/>
      <c r="AG399" s="1039"/>
      <c r="AZ399" s="143"/>
    </row>
    <row r="400" spans="2:52">
      <c r="B400" s="86"/>
      <c r="C400" s="28"/>
      <c r="D400" s="164"/>
      <c r="E400" s="29"/>
      <c r="F400" s="29"/>
      <c r="G400" s="263"/>
      <c r="H400" s="8"/>
      <c r="I400" s="8"/>
      <c r="J400" s="8"/>
      <c r="K400" s="7"/>
      <c r="L400" s="324"/>
      <c r="M400" s="38"/>
      <c r="N400" s="29"/>
      <c r="O400" s="9"/>
      <c r="P400" s="9"/>
      <c r="Q400" s="9"/>
      <c r="R400" s="9"/>
      <c r="S400" s="76"/>
      <c r="T400" s="8"/>
      <c r="U400" s="1011"/>
      <c r="V400" s="8"/>
      <c r="W400" s="8"/>
      <c r="X400" s="1011"/>
      <c r="Z400" s="143"/>
      <c r="AA400" s="316"/>
      <c r="AB400" s="45"/>
      <c r="AC400" s="8"/>
      <c r="AD400" s="8"/>
      <c r="AE400" s="25"/>
      <c r="AF400" s="1050"/>
      <c r="AG400" s="1039"/>
      <c r="AZ400" s="143"/>
    </row>
    <row r="401" spans="2:52">
      <c r="B401" s="86"/>
      <c r="C401" s="28"/>
      <c r="D401" s="164"/>
      <c r="E401" s="29"/>
      <c r="F401" s="29"/>
      <c r="G401" s="263"/>
      <c r="H401" s="8"/>
      <c r="I401" s="8"/>
      <c r="J401" s="8"/>
      <c r="K401" s="7"/>
      <c r="L401" s="324"/>
      <c r="M401" s="38"/>
      <c r="N401" s="29"/>
      <c r="O401" s="9"/>
      <c r="P401" s="9"/>
      <c r="Q401" s="9"/>
      <c r="R401" s="9"/>
      <c r="S401" s="76"/>
      <c r="T401" s="8"/>
      <c r="U401" s="1011"/>
      <c r="V401" s="8"/>
      <c r="W401" s="8"/>
      <c r="X401" s="1011"/>
      <c r="Z401" s="143"/>
      <c r="AA401" s="316"/>
      <c r="AB401" s="45"/>
      <c r="AC401" s="8"/>
      <c r="AD401" s="8"/>
      <c r="AE401" s="25"/>
      <c r="AF401" s="1050"/>
      <c r="AG401" s="1039"/>
      <c r="AZ401" s="143"/>
    </row>
    <row r="402" spans="2:52">
      <c r="B402" s="86"/>
      <c r="C402" s="28"/>
      <c r="D402" s="164"/>
      <c r="E402" s="29"/>
      <c r="F402" s="29"/>
      <c r="G402" s="263"/>
      <c r="H402" s="8"/>
      <c r="I402" s="8"/>
      <c r="J402" s="8"/>
      <c r="K402" s="7"/>
      <c r="L402" s="324"/>
      <c r="M402" s="38"/>
      <c r="N402" s="29"/>
      <c r="O402" s="9"/>
      <c r="P402" s="9"/>
      <c r="Q402" s="9"/>
      <c r="R402" s="9"/>
      <c r="S402" s="76"/>
      <c r="T402" s="8"/>
      <c r="U402" s="1011"/>
      <c r="V402" s="8"/>
      <c r="W402" s="8"/>
      <c r="X402" s="1011"/>
      <c r="Z402" s="143"/>
      <c r="AA402" s="316"/>
      <c r="AB402" s="45"/>
      <c r="AC402" s="8"/>
      <c r="AD402" s="8"/>
      <c r="AE402" s="25"/>
      <c r="AF402" s="1050"/>
      <c r="AG402" s="1039"/>
      <c r="AZ402" s="143"/>
    </row>
    <row r="403" spans="2:52">
      <c r="B403" s="86"/>
      <c r="C403" s="28"/>
      <c r="D403" s="164"/>
      <c r="E403" s="29"/>
      <c r="F403" s="29"/>
      <c r="G403" s="263"/>
      <c r="H403" s="8"/>
      <c r="I403" s="8"/>
      <c r="J403" s="8"/>
      <c r="K403" s="7"/>
      <c r="L403" s="324"/>
      <c r="M403" s="38"/>
      <c r="N403" s="29"/>
      <c r="O403" s="9"/>
      <c r="P403" s="9"/>
      <c r="Q403" s="9"/>
      <c r="R403" s="9"/>
      <c r="S403" s="76"/>
      <c r="T403" s="8"/>
      <c r="U403" s="1011"/>
      <c r="V403" s="8"/>
      <c r="W403" s="8"/>
      <c r="X403" s="1011"/>
      <c r="Z403" s="143"/>
      <c r="AA403" s="316"/>
      <c r="AB403" s="45"/>
      <c r="AC403" s="8"/>
      <c r="AD403" s="8"/>
      <c r="AE403" s="25"/>
      <c r="AF403" s="1050"/>
      <c r="AG403" s="1039"/>
      <c r="AZ403" s="143"/>
    </row>
    <row r="404" spans="2:52">
      <c r="B404" s="86"/>
      <c r="C404" s="28"/>
      <c r="D404" s="164"/>
      <c r="E404" s="29"/>
      <c r="F404" s="29"/>
      <c r="G404" s="263"/>
      <c r="H404" s="8"/>
      <c r="I404" s="8"/>
      <c r="J404" s="8"/>
      <c r="K404" s="7"/>
      <c r="L404" s="324"/>
      <c r="M404" s="38"/>
      <c r="N404" s="29"/>
      <c r="O404" s="9"/>
      <c r="P404" s="9"/>
      <c r="Q404" s="9"/>
      <c r="R404" s="9"/>
      <c r="S404" s="76"/>
      <c r="T404" s="8"/>
      <c r="U404" s="1011"/>
      <c r="V404" s="8"/>
      <c r="W404" s="8"/>
      <c r="X404" s="1011"/>
      <c r="Z404" s="143"/>
      <c r="AA404" s="316"/>
      <c r="AB404" s="45"/>
      <c r="AC404" s="8"/>
      <c r="AD404" s="8"/>
      <c r="AE404" s="25"/>
      <c r="AF404" s="1050"/>
      <c r="AG404" s="1039"/>
      <c r="AZ404" s="143"/>
    </row>
    <row r="405" spans="2:52">
      <c r="B405" s="86"/>
      <c r="C405" s="28"/>
      <c r="D405" s="164"/>
      <c r="E405" s="29"/>
      <c r="F405" s="29"/>
      <c r="G405" s="263"/>
      <c r="H405" s="8"/>
      <c r="I405" s="8"/>
      <c r="J405" s="8"/>
      <c r="K405" s="7"/>
      <c r="L405" s="324"/>
      <c r="M405" s="38"/>
      <c r="N405" s="29"/>
      <c r="O405" s="9"/>
      <c r="P405" s="9"/>
      <c r="Q405" s="9"/>
      <c r="R405" s="9"/>
      <c r="S405" s="76"/>
      <c r="T405" s="8"/>
      <c r="U405" s="1011"/>
      <c r="V405" s="8"/>
      <c r="W405" s="8"/>
      <c r="X405" s="1011"/>
      <c r="Z405" s="143"/>
      <c r="AA405" s="316"/>
      <c r="AB405" s="45"/>
      <c r="AC405" s="8"/>
      <c r="AD405" s="8"/>
      <c r="AE405" s="25"/>
      <c r="AF405" s="1050"/>
      <c r="AG405" s="1039"/>
      <c r="AZ405" s="143"/>
    </row>
    <row r="406" spans="2:52">
      <c r="B406" s="86"/>
      <c r="C406" s="28"/>
      <c r="D406" s="164"/>
      <c r="E406" s="29"/>
      <c r="F406" s="29"/>
      <c r="G406" s="263"/>
      <c r="H406" s="8"/>
      <c r="I406" s="8"/>
      <c r="J406" s="8"/>
      <c r="K406" s="7"/>
      <c r="L406" s="324"/>
      <c r="M406" s="38"/>
      <c r="N406" s="29"/>
      <c r="O406" s="9"/>
      <c r="P406" s="9"/>
      <c r="Q406" s="9"/>
      <c r="R406" s="9"/>
      <c r="S406" s="76"/>
      <c r="T406" s="8"/>
      <c r="U406" s="1011"/>
      <c r="V406" s="8"/>
      <c r="W406" s="8"/>
      <c r="X406" s="1011"/>
      <c r="Z406" s="143"/>
      <c r="AA406" s="316"/>
      <c r="AB406" s="45"/>
      <c r="AC406" s="8"/>
      <c r="AD406" s="8"/>
      <c r="AE406" s="25"/>
      <c r="AF406" s="1050"/>
      <c r="AG406" s="1039"/>
      <c r="AZ406" s="143"/>
    </row>
    <row r="407" spans="2:52">
      <c r="B407" s="86"/>
      <c r="C407" s="28"/>
      <c r="D407" s="164"/>
      <c r="E407" s="29"/>
      <c r="F407" s="29"/>
      <c r="G407" s="263"/>
      <c r="H407" s="8"/>
      <c r="I407" s="8"/>
      <c r="J407" s="8"/>
      <c r="K407" s="7"/>
      <c r="L407" s="324"/>
      <c r="M407" s="38"/>
      <c r="N407" s="29"/>
      <c r="O407" s="9"/>
      <c r="P407" s="9"/>
      <c r="Q407" s="9"/>
      <c r="R407" s="9"/>
      <c r="S407" s="76"/>
      <c r="T407" s="8"/>
      <c r="U407" s="1011"/>
      <c r="V407" s="8"/>
      <c r="W407" s="8"/>
      <c r="X407" s="1011"/>
      <c r="Z407" s="143"/>
      <c r="AA407" s="316"/>
      <c r="AB407" s="45"/>
      <c r="AC407" s="8"/>
      <c r="AD407" s="8"/>
      <c r="AE407" s="25"/>
      <c r="AF407" s="1050"/>
      <c r="AG407" s="1039"/>
      <c r="AZ407" s="143"/>
    </row>
    <row r="408" spans="2:52">
      <c r="B408" s="86"/>
      <c r="C408" s="28"/>
      <c r="D408" s="164"/>
      <c r="E408" s="29"/>
      <c r="F408" s="29"/>
      <c r="G408" s="263"/>
      <c r="H408" s="8"/>
      <c r="I408" s="8"/>
      <c r="J408" s="8"/>
      <c r="K408" s="7"/>
      <c r="L408" s="324"/>
      <c r="M408" s="38"/>
      <c r="N408" s="29"/>
      <c r="O408" s="9"/>
      <c r="P408" s="9"/>
      <c r="Q408" s="9"/>
      <c r="R408" s="9"/>
      <c r="S408" s="76"/>
      <c r="T408" s="8"/>
      <c r="U408" s="1011"/>
      <c r="V408" s="8"/>
      <c r="W408" s="8"/>
      <c r="X408" s="1011"/>
      <c r="Z408" s="143"/>
      <c r="AA408" s="316"/>
      <c r="AB408" s="45"/>
      <c r="AC408" s="8"/>
      <c r="AD408" s="8"/>
      <c r="AE408" s="25"/>
      <c r="AF408" s="1050"/>
      <c r="AG408" s="1039"/>
      <c r="AZ408" s="143"/>
    </row>
    <row r="409" spans="2:52">
      <c r="B409" s="86"/>
      <c r="C409" s="28"/>
      <c r="D409" s="164"/>
      <c r="E409" s="29"/>
      <c r="F409" s="29"/>
      <c r="G409" s="263"/>
      <c r="H409" s="8"/>
      <c r="I409" s="8"/>
      <c r="J409" s="8"/>
      <c r="K409" s="7"/>
      <c r="L409" s="324"/>
      <c r="M409" s="38"/>
      <c r="N409" s="29"/>
      <c r="O409" s="9"/>
      <c r="P409" s="9"/>
      <c r="Q409" s="9"/>
      <c r="R409" s="9"/>
      <c r="S409" s="76"/>
      <c r="T409" s="8"/>
      <c r="U409" s="1011"/>
      <c r="V409" s="8"/>
      <c r="W409" s="8"/>
      <c r="X409" s="1011"/>
      <c r="Z409" s="143"/>
      <c r="AA409" s="316"/>
      <c r="AB409" s="45"/>
      <c r="AC409" s="8"/>
      <c r="AD409" s="8"/>
      <c r="AE409" s="25"/>
      <c r="AF409" s="1050"/>
      <c r="AG409" s="1039"/>
      <c r="AZ409" s="143"/>
    </row>
    <row r="410" spans="2:52">
      <c r="B410" s="86"/>
      <c r="C410" s="28"/>
      <c r="D410" s="164"/>
      <c r="E410" s="29"/>
      <c r="F410" s="29"/>
      <c r="G410" s="263"/>
      <c r="H410" s="8"/>
      <c r="I410" s="8"/>
      <c r="J410" s="8"/>
      <c r="K410" s="7"/>
      <c r="L410" s="324"/>
      <c r="M410" s="38"/>
      <c r="N410" s="29"/>
      <c r="O410" s="9"/>
      <c r="P410" s="9"/>
      <c r="Q410" s="9"/>
      <c r="R410" s="9"/>
      <c r="S410" s="76"/>
      <c r="T410" s="8"/>
      <c r="U410" s="1011"/>
      <c r="V410" s="8"/>
      <c r="W410" s="8"/>
      <c r="X410" s="1011"/>
      <c r="Z410" s="143"/>
      <c r="AA410" s="316"/>
      <c r="AB410" s="45"/>
      <c r="AC410" s="8"/>
      <c r="AD410" s="8"/>
      <c r="AE410" s="25"/>
      <c r="AF410" s="1050"/>
      <c r="AG410" s="1039"/>
      <c r="AZ410" s="143"/>
    </row>
    <row r="411" spans="2:52">
      <c r="B411" s="86"/>
      <c r="C411" s="28"/>
      <c r="D411" s="164"/>
      <c r="E411" s="29"/>
      <c r="F411" s="29"/>
      <c r="G411" s="263"/>
      <c r="H411" s="8"/>
      <c r="I411" s="8"/>
      <c r="J411" s="8"/>
      <c r="K411" s="7"/>
      <c r="L411" s="324"/>
      <c r="M411" s="38"/>
      <c r="N411" s="29"/>
      <c r="O411" s="9"/>
      <c r="P411" s="9"/>
      <c r="Q411" s="9"/>
      <c r="R411" s="9"/>
      <c r="S411" s="76"/>
      <c r="T411" s="8"/>
      <c r="U411" s="1011"/>
      <c r="V411" s="8"/>
      <c r="W411" s="8"/>
      <c r="X411" s="1011"/>
      <c r="Z411" s="143"/>
      <c r="AA411" s="316"/>
      <c r="AB411" s="45"/>
      <c r="AC411" s="8"/>
      <c r="AD411" s="8"/>
      <c r="AE411" s="25"/>
      <c r="AF411" s="1050"/>
      <c r="AG411" s="1039"/>
      <c r="AZ411" s="143"/>
    </row>
    <row r="412" spans="2:52">
      <c r="B412" s="86"/>
      <c r="C412" s="28"/>
      <c r="D412" s="164"/>
      <c r="E412" s="29"/>
      <c r="F412" s="29"/>
      <c r="G412" s="263"/>
      <c r="H412" s="8"/>
      <c r="I412" s="8"/>
      <c r="J412" s="8"/>
      <c r="K412" s="7"/>
      <c r="L412" s="324"/>
      <c r="M412" s="38"/>
      <c r="N412" s="29"/>
      <c r="O412" s="9"/>
      <c r="P412" s="9"/>
      <c r="Q412" s="9"/>
      <c r="R412" s="9"/>
      <c r="S412" s="76"/>
      <c r="T412" s="8"/>
      <c r="U412" s="1011"/>
      <c r="V412" s="8"/>
      <c r="W412" s="8"/>
      <c r="X412" s="1011"/>
      <c r="Z412" s="143"/>
      <c r="AA412" s="316"/>
      <c r="AB412" s="45"/>
      <c r="AC412" s="8"/>
      <c r="AD412" s="8"/>
      <c r="AE412" s="25"/>
      <c r="AF412" s="1050"/>
      <c r="AG412" s="1039"/>
      <c r="AZ412" s="143"/>
    </row>
    <row r="413" spans="2:52">
      <c r="B413" s="86"/>
      <c r="C413" s="28"/>
      <c r="D413" s="164"/>
      <c r="E413" s="29"/>
      <c r="F413" s="29"/>
      <c r="G413" s="263"/>
      <c r="H413" s="8"/>
      <c r="I413" s="8"/>
      <c r="J413" s="8"/>
      <c r="K413" s="7"/>
      <c r="L413" s="324"/>
      <c r="M413" s="38"/>
      <c r="N413" s="29"/>
      <c r="O413" s="9"/>
      <c r="P413" s="9"/>
      <c r="Q413" s="9"/>
      <c r="R413" s="9"/>
      <c r="S413" s="76"/>
      <c r="T413" s="8"/>
      <c r="U413" s="1011"/>
      <c r="V413" s="8"/>
      <c r="W413" s="8"/>
      <c r="X413" s="1011"/>
      <c r="Z413" s="143"/>
      <c r="AA413" s="316"/>
      <c r="AB413" s="45"/>
      <c r="AC413" s="8"/>
      <c r="AD413" s="8"/>
      <c r="AE413" s="25"/>
      <c r="AF413" s="1050"/>
      <c r="AG413" s="1039"/>
      <c r="AZ413" s="143"/>
    </row>
    <row r="414" spans="2:52">
      <c r="B414" s="86"/>
      <c r="C414" s="28"/>
      <c r="D414" s="164"/>
      <c r="E414" s="29"/>
      <c r="F414" s="29"/>
      <c r="G414" s="263"/>
      <c r="H414" s="8"/>
      <c r="I414" s="8"/>
      <c r="J414" s="8"/>
      <c r="K414" s="7"/>
      <c r="L414" s="324"/>
      <c r="M414" s="38"/>
      <c r="N414" s="29"/>
      <c r="O414" s="9"/>
      <c r="P414" s="9"/>
      <c r="Q414" s="9"/>
      <c r="R414" s="9"/>
      <c r="S414" s="76"/>
      <c r="T414" s="8"/>
      <c r="U414" s="1011"/>
      <c r="V414" s="8"/>
      <c r="W414" s="8"/>
      <c r="X414" s="1011"/>
      <c r="Z414" s="143"/>
      <c r="AA414" s="316"/>
      <c r="AB414" s="45"/>
      <c r="AC414" s="8"/>
      <c r="AD414" s="8"/>
      <c r="AE414" s="25"/>
      <c r="AF414" s="1050"/>
      <c r="AG414" s="1039"/>
      <c r="AZ414" s="143"/>
    </row>
    <row r="415" spans="2:52">
      <c r="B415" s="86"/>
      <c r="C415" s="28"/>
      <c r="D415" s="164"/>
      <c r="E415" s="29"/>
      <c r="F415" s="29"/>
      <c r="G415" s="263"/>
      <c r="H415" s="8"/>
      <c r="I415" s="8"/>
      <c r="J415" s="8"/>
      <c r="K415" s="7"/>
      <c r="L415" s="324"/>
      <c r="M415" s="38"/>
      <c r="N415" s="29"/>
      <c r="O415" s="9"/>
      <c r="P415" s="9"/>
      <c r="Q415" s="9"/>
      <c r="R415" s="9"/>
      <c r="S415" s="76"/>
      <c r="T415" s="8"/>
      <c r="U415" s="1011"/>
      <c r="V415" s="8"/>
      <c r="W415" s="8"/>
      <c r="X415" s="1011"/>
      <c r="Z415" s="143"/>
      <c r="AA415" s="316"/>
      <c r="AB415" s="45"/>
      <c r="AC415" s="8"/>
      <c r="AD415" s="8"/>
      <c r="AE415" s="25"/>
      <c r="AF415" s="1050"/>
      <c r="AG415" s="1039"/>
      <c r="AZ415" s="143"/>
    </row>
    <row r="416" spans="2:52">
      <c r="B416" s="86"/>
      <c r="C416" s="28"/>
      <c r="D416" s="164"/>
      <c r="E416" s="29"/>
      <c r="F416" s="29"/>
      <c r="G416" s="263"/>
      <c r="H416" s="8"/>
      <c r="I416" s="8"/>
      <c r="J416" s="8"/>
      <c r="K416" s="7"/>
      <c r="L416" s="324"/>
      <c r="M416" s="38"/>
      <c r="N416" s="29"/>
      <c r="O416" s="9"/>
      <c r="P416" s="9"/>
      <c r="Q416" s="9"/>
      <c r="R416" s="9"/>
      <c r="S416" s="76"/>
      <c r="T416" s="8"/>
      <c r="U416" s="1011"/>
      <c r="V416" s="8"/>
      <c r="W416" s="8"/>
      <c r="X416" s="1011"/>
      <c r="Z416" s="143"/>
      <c r="AA416" s="316"/>
      <c r="AB416" s="45"/>
      <c r="AC416" s="8"/>
      <c r="AD416" s="8"/>
      <c r="AE416" s="25"/>
      <c r="AF416" s="1050"/>
      <c r="AG416" s="1039"/>
      <c r="AZ416" s="143"/>
    </row>
    <row r="417" spans="2:52">
      <c r="B417" s="86"/>
      <c r="C417" s="28"/>
      <c r="D417" s="164"/>
      <c r="E417" s="29"/>
      <c r="F417" s="29"/>
      <c r="G417" s="263"/>
      <c r="H417" s="8"/>
      <c r="I417" s="8"/>
      <c r="J417" s="8"/>
      <c r="K417" s="7"/>
      <c r="L417" s="324"/>
      <c r="M417" s="38"/>
      <c r="N417" s="29"/>
      <c r="O417" s="9"/>
      <c r="P417" s="9"/>
      <c r="Q417" s="9"/>
      <c r="R417" s="9"/>
      <c r="S417" s="76"/>
      <c r="T417" s="8"/>
      <c r="U417" s="1011"/>
      <c r="V417" s="8"/>
      <c r="W417" s="8"/>
      <c r="X417" s="1011"/>
      <c r="Z417" s="143"/>
      <c r="AA417" s="316"/>
      <c r="AB417" s="45"/>
      <c r="AC417" s="8"/>
      <c r="AD417" s="8"/>
      <c r="AE417" s="25"/>
      <c r="AF417" s="1050"/>
      <c r="AG417" s="1039"/>
      <c r="AZ417" s="143"/>
    </row>
    <row r="418" spans="2:52">
      <c r="B418" s="86"/>
      <c r="C418" s="28"/>
      <c r="D418" s="164"/>
      <c r="E418" s="29"/>
      <c r="F418" s="29"/>
      <c r="G418" s="263"/>
      <c r="H418" s="8"/>
      <c r="I418" s="8"/>
      <c r="J418" s="8"/>
      <c r="K418" s="7"/>
      <c r="L418" s="324"/>
      <c r="M418" s="38"/>
      <c r="N418" s="29"/>
      <c r="O418" s="9"/>
      <c r="P418" s="9"/>
      <c r="Q418" s="9"/>
      <c r="R418" s="9"/>
      <c r="S418" s="76"/>
      <c r="T418" s="8"/>
      <c r="U418" s="1011"/>
      <c r="V418" s="8"/>
      <c r="W418" s="8"/>
      <c r="X418" s="1011"/>
      <c r="Z418" s="143"/>
      <c r="AA418" s="316"/>
      <c r="AB418" s="45"/>
      <c r="AC418" s="8"/>
      <c r="AD418" s="8"/>
      <c r="AE418" s="25"/>
      <c r="AF418" s="1050"/>
      <c r="AG418" s="1039"/>
      <c r="AZ418" s="143"/>
    </row>
    <row r="419" spans="2:52">
      <c r="B419" s="86"/>
      <c r="C419" s="28"/>
      <c r="D419" s="164"/>
      <c r="E419" s="29"/>
      <c r="F419" s="29"/>
      <c r="G419" s="263"/>
      <c r="H419" s="8"/>
      <c r="I419" s="8"/>
      <c r="J419" s="8"/>
      <c r="K419" s="7"/>
      <c r="L419" s="324"/>
      <c r="M419" s="38"/>
      <c r="N419" s="29"/>
      <c r="O419" s="9"/>
      <c r="P419" s="9"/>
      <c r="Q419" s="9"/>
      <c r="R419" s="9"/>
      <c r="S419" s="76"/>
      <c r="T419" s="8"/>
      <c r="U419" s="1011"/>
      <c r="V419" s="8"/>
      <c r="W419" s="8"/>
      <c r="X419" s="1011"/>
      <c r="Z419" s="143"/>
      <c r="AA419" s="316"/>
      <c r="AB419" s="45"/>
      <c r="AC419" s="8"/>
      <c r="AD419" s="8"/>
      <c r="AE419" s="25"/>
      <c r="AF419" s="1050"/>
      <c r="AG419" s="1039"/>
      <c r="AZ419" s="143"/>
    </row>
    <row r="420" spans="2:52">
      <c r="B420" s="86"/>
      <c r="C420" s="28"/>
      <c r="D420" s="164"/>
      <c r="E420" s="29"/>
      <c r="F420" s="29"/>
      <c r="G420" s="263"/>
      <c r="H420" s="8"/>
      <c r="I420" s="8"/>
      <c r="J420" s="8"/>
      <c r="K420" s="7"/>
      <c r="L420" s="324"/>
      <c r="M420" s="38"/>
      <c r="N420" s="29"/>
      <c r="O420" s="9"/>
      <c r="P420" s="9"/>
      <c r="Q420" s="9"/>
      <c r="R420" s="9"/>
      <c r="S420" s="76"/>
      <c r="T420" s="8"/>
      <c r="U420" s="1011"/>
      <c r="V420" s="8"/>
      <c r="W420" s="8"/>
      <c r="X420" s="1011"/>
      <c r="Z420" s="143"/>
      <c r="AA420" s="316"/>
      <c r="AB420" s="45"/>
      <c r="AC420" s="8"/>
      <c r="AD420" s="8"/>
      <c r="AE420" s="25"/>
      <c r="AF420" s="1050"/>
      <c r="AG420" s="1039"/>
      <c r="AZ420" s="143"/>
    </row>
    <row r="421" spans="2:52">
      <c r="B421" s="86"/>
      <c r="C421" s="28"/>
      <c r="D421" s="164"/>
      <c r="E421" s="29"/>
      <c r="F421" s="29"/>
      <c r="G421" s="263"/>
      <c r="H421" s="8"/>
      <c r="I421" s="8"/>
      <c r="J421" s="8"/>
      <c r="K421" s="7"/>
      <c r="L421" s="324"/>
      <c r="M421" s="38"/>
      <c r="N421" s="29"/>
      <c r="O421" s="9"/>
      <c r="P421" s="9"/>
      <c r="Q421" s="9"/>
      <c r="R421" s="9"/>
      <c r="S421" s="76"/>
      <c r="T421" s="8"/>
      <c r="U421" s="1011"/>
      <c r="V421" s="8"/>
      <c r="W421" s="8"/>
      <c r="X421" s="1011"/>
      <c r="Z421" s="143"/>
      <c r="AA421" s="316"/>
      <c r="AB421" s="45"/>
      <c r="AC421" s="8"/>
      <c r="AD421" s="8"/>
      <c r="AE421" s="25"/>
      <c r="AF421" s="1050"/>
      <c r="AG421" s="1039"/>
      <c r="AZ421" s="143"/>
    </row>
    <row r="422" spans="2:52">
      <c r="B422" s="86"/>
      <c r="C422" s="28"/>
      <c r="D422" s="164"/>
      <c r="E422" s="29"/>
      <c r="F422" s="29"/>
      <c r="G422" s="263"/>
      <c r="H422" s="8"/>
      <c r="I422" s="8"/>
      <c r="J422" s="8"/>
      <c r="K422" s="7"/>
      <c r="L422" s="324"/>
      <c r="M422" s="38"/>
      <c r="N422" s="29"/>
      <c r="O422" s="9"/>
      <c r="P422" s="9"/>
      <c r="Q422" s="9"/>
      <c r="R422" s="9"/>
      <c r="S422" s="76"/>
      <c r="T422" s="8"/>
      <c r="U422" s="1011"/>
      <c r="V422" s="8"/>
      <c r="W422" s="8"/>
      <c r="X422" s="1011"/>
      <c r="Z422" s="143"/>
      <c r="AA422" s="316"/>
      <c r="AB422" s="45"/>
      <c r="AC422" s="8"/>
      <c r="AD422" s="8"/>
      <c r="AE422" s="25"/>
      <c r="AF422" s="1050"/>
      <c r="AG422" s="1039"/>
      <c r="AZ422" s="143"/>
    </row>
    <row r="423" spans="2:52">
      <c r="B423" s="86"/>
      <c r="C423" s="28"/>
      <c r="D423" s="164"/>
      <c r="E423" s="29"/>
      <c r="F423" s="29"/>
      <c r="G423" s="263"/>
      <c r="H423" s="8"/>
      <c r="I423" s="8"/>
      <c r="J423" s="8"/>
      <c r="K423" s="7"/>
      <c r="L423" s="324"/>
      <c r="M423" s="38"/>
      <c r="N423" s="29"/>
      <c r="O423" s="9"/>
      <c r="P423" s="9"/>
      <c r="Q423" s="9"/>
      <c r="R423" s="9"/>
      <c r="S423" s="76"/>
      <c r="T423" s="8"/>
      <c r="U423" s="1011"/>
      <c r="V423" s="8"/>
      <c r="W423" s="8"/>
      <c r="X423" s="1011"/>
      <c r="Z423" s="143"/>
      <c r="AA423" s="316"/>
      <c r="AB423" s="45"/>
      <c r="AC423" s="8"/>
      <c r="AD423" s="8"/>
      <c r="AE423" s="25"/>
      <c r="AF423" s="1050"/>
      <c r="AG423" s="1039"/>
      <c r="AZ423" s="143"/>
    </row>
    <row r="424" spans="2:52">
      <c r="B424" s="86"/>
      <c r="C424" s="28"/>
      <c r="D424" s="164"/>
      <c r="E424" s="29"/>
      <c r="F424" s="29"/>
      <c r="G424" s="263"/>
      <c r="H424" s="8"/>
      <c r="I424" s="8"/>
      <c r="J424" s="8"/>
      <c r="K424" s="7"/>
      <c r="L424" s="324"/>
      <c r="M424" s="38"/>
      <c r="N424" s="29"/>
      <c r="O424" s="9"/>
      <c r="P424" s="9"/>
      <c r="Q424" s="9"/>
      <c r="R424" s="9"/>
      <c r="S424" s="76"/>
      <c r="T424" s="8"/>
      <c r="U424" s="1011"/>
      <c r="V424" s="8"/>
      <c r="W424" s="8"/>
      <c r="X424" s="1011"/>
      <c r="Z424" s="143"/>
      <c r="AA424" s="316"/>
      <c r="AB424" s="45"/>
      <c r="AC424" s="8"/>
      <c r="AD424" s="8"/>
      <c r="AE424" s="25"/>
      <c r="AF424" s="1050"/>
      <c r="AG424" s="1039"/>
      <c r="AZ424" s="143"/>
    </row>
    <row r="425" spans="2:52">
      <c r="B425" s="86"/>
      <c r="C425" s="28"/>
      <c r="D425" s="164"/>
      <c r="E425" s="29"/>
      <c r="F425" s="29"/>
      <c r="G425" s="263"/>
      <c r="H425" s="8"/>
      <c r="I425" s="8"/>
      <c r="J425" s="8"/>
      <c r="K425" s="7"/>
      <c r="L425" s="324"/>
      <c r="M425" s="38"/>
      <c r="N425" s="29"/>
      <c r="O425" s="9"/>
      <c r="P425" s="9"/>
      <c r="Q425" s="9"/>
      <c r="R425" s="9"/>
      <c r="S425" s="76"/>
      <c r="T425" s="8"/>
      <c r="U425" s="1011"/>
      <c r="V425" s="8"/>
      <c r="W425" s="8"/>
      <c r="X425" s="1011"/>
      <c r="Z425" s="143"/>
      <c r="AA425" s="316"/>
      <c r="AB425" s="45"/>
      <c r="AC425" s="8"/>
      <c r="AD425" s="8"/>
      <c r="AE425" s="25"/>
      <c r="AF425" s="1050"/>
      <c r="AG425" s="1039"/>
      <c r="AZ425" s="143"/>
    </row>
    <row r="426" spans="2:52">
      <c r="B426" s="86"/>
      <c r="C426" s="28"/>
      <c r="D426" s="164"/>
      <c r="E426" s="29"/>
      <c r="F426" s="29"/>
      <c r="G426" s="263"/>
      <c r="H426" s="8"/>
      <c r="I426" s="8"/>
      <c r="J426" s="8"/>
      <c r="K426" s="7"/>
      <c r="L426" s="324"/>
      <c r="M426" s="38"/>
      <c r="N426" s="29"/>
      <c r="O426" s="9"/>
      <c r="P426" s="9"/>
      <c r="Q426" s="9"/>
      <c r="R426" s="9"/>
      <c r="S426" s="76"/>
      <c r="T426" s="8"/>
      <c r="U426" s="1011"/>
      <c r="V426" s="8"/>
      <c r="W426" s="8"/>
      <c r="X426" s="1011"/>
      <c r="Z426" s="143"/>
      <c r="AA426" s="316"/>
      <c r="AB426" s="45"/>
      <c r="AC426" s="8"/>
      <c r="AD426" s="8"/>
      <c r="AE426" s="25"/>
      <c r="AF426" s="1050"/>
      <c r="AG426" s="1039"/>
      <c r="AZ426" s="143"/>
    </row>
    <row r="427" spans="2:52">
      <c r="B427" s="86"/>
      <c r="C427" s="28"/>
      <c r="D427" s="164"/>
      <c r="E427" s="29"/>
      <c r="F427" s="29"/>
      <c r="G427" s="263"/>
      <c r="H427" s="8"/>
      <c r="I427" s="8"/>
      <c r="J427" s="8"/>
      <c r="K427" s="7"/>
      <c r="L427" s="324"/>
      <c r="M427" s="38"/>
      <c r="N427" s="29"/>
      <c r="O427" s="9"/>
      <c r="P427" s="9"/>
      <c r="Q427" s="9"/>
      <c r="R427" s="9"/>
      <c r="S427" s="76"/>
      <c r="T427" s="8"/>
      <c r="U427" s="1011"/>
      <c r="V427" s="8"/>
      <c r="W427" s="8"/>
      <c r="X427" s="1011"/>
      <c r="Z427" s="143"/>
      <c r="AA427" s="316"/>
      <c r="AB427" s="45"/>
      <c r="AC427" s="8"/>
      <c r="AD427" s="8"/>
      <c r="AE427" s="25"/>
      <c r="AF427" s="1050"/>
      <c r="AG427" s="1039"/>
      <c r="AZ427" s="143"/>
    </row>
    <row r="428" spans="2:52">
      <c r="B428" s="86"/>
      <c r="C428" s="28"/>
      <c r="D428" s="164"/>
      <c r="E428" s="29"/>
      <c r="F428" s="29"/>
      <c r="G428" s="263"/>
      <c r="H428" s="8"/>
      <c r="I428" s="8"/>
      <c r="J428" s="8"/>
      <c r="K428" s="7"/>
      <c r="L428" s="324"/>
      <c r="M428" s="38"/>
      <c r="N428" s="29"/>
      <c r="O428" s="9"/>
      <c r="P428" s="9"/>
      <c r="Q428" s="9"/>
      <c r="R428" s="9"/>
      <c r="S428" s="76"/>
      <c r="T428" s="8"/>
      <c r="U428" s="1011"/>
      <c r="V428" s="8"/>
      <c r="W428" s="8"/>
      <c r="X428" s="1011"/>
      <c r="Z428" s="143"/>
      <c r="AA428" s="316"/>
      <c r="AB428" s="45"/>
      <c r="AC428" s="8"/>
      <c r="AD428" s="8"/>
      <c r="AE428" s="25"/>
      <c r="AF428" s="1050"/>
      <c r="AG428" s="1039"/>
      <c r="AZ428" s="143"/>
    </row>
    <row r="429" spans="2:52">
      <c r="B429" s="86"/>
      <c r="C429" s="28"/>
      <c r="D429" s="164"/>
      <c r="E429" s="29"/>
      <c r="F429" s="29"/>
      <c r="G429" s="263"/>
      <c r="H429" s="8"/>
      <c r="I429" s="8"/>
      <c r="J429" s="8"/>
      <c r="K429" s="7"/>
      <c r="L429" s="324"/>
      <c r="M429" s="38"/>
      <c r="N429" s="29"/>
      <c r="O429" s="9"/>
      <c r="P429" s="9"/>
      <c r="Q429" s="9"/>
      <c r="R429" s="9"/>
      <c r="S429" s="76"/>
      <c r="T429" s="8"/>
      <c r="U429" s="1011"/>
      <c r="V429" s="8"/>
      <c r="W429" s="8"/>
      <c r="X429" s="1011"/>
      <c r="Z429" s="143"/>
      <c r="AA429" s="316"/>
      <c r="AB429" s="45"/>
      <c r="AC429" s="8"/>
      <c r="AD429" s="8"/>
      <c r="AE429" s="25"/>
      <c r="AF429" s="1050"/>
      <c r="AG429" s="1039"/>
      <c r="AZ429" s="143"/>
    </row>
    <row r="430" spans="2:52">
      <c r="B430" s="86"/>
      <c r="C430" s="28"/>
      <c r="D430" s="164"/>
      <c r="E430" s="29"/>
      <c r="F430" s="29"/>
      <c r="G430" s="263"/>
      <c r="H430" s="8"/>
      <c r="I430" s="8"/>
      <c r="J430" s="8"/>
      <c r="K430" s="7"/>
      <c r="L430" s="324"/>
      <c r="M430" s="38"/>
      <c r="N430" s="29"/>
      <c r="O430" s="9"/>
      <c r="P430" s="9"/>
      <c r="Q430" s="9"/>
      <c r="R430" s="9"/>
      <c r="S430" s="76"/>
      <c r="T430" s="8"/>
      <c r="U430" s="1011"/>
      <c r="V430" s="8"/>
      <c r="W430" s="8"/>
      <c r="X430" s="1011"/>
      <c r="Z430" s="143"/>
      <c r="AA430" s="316"/>
      <c r="AB430" s="45"/>
      <c r="AC430" s="8"/>
      <c r="AD430" s="8"/>
      <c r="AE430" s="25"/>
      <c r="AF430" s="1050"/>
      <c r="AG430" s="1039"/>
      <c r="AZ430" s="143"/>
    </row>
    <row r="431" spans="2:52">
      <c r="B431" s="86"/>
      <c r="C431" s="28"/>
      <c r="D431" s="164"/>
      <c r="E431" s="29"/>
      <c r="F431" s="29"/>
      <c r="G431" s="263"/>
      <c r="H431" s="8"/>
      <c r="I431" s="8"/>
      <c r="J431" s="8"/>
      <c r="K431" s="7"/>
      <c r="L431" s="324"/>
      <c r="M431" s="38"/>
      <c r="N431" s="29"/>
      <c r="O431" s="9"/>
      <c r="P431" s="9"/>
      <c r="Q431" s="9"/>
      <c r="R431" s="9"/>
      <c r="S431" s="76"/>
      <c r="T431" s="8"/>
      <c r="U431" s="1011"/>
      <c r="V431" s="8"/>
      <c r="W431" s="8"/>
      <c r="X431" s="1011"/>
      <c r="Z431" s="143"/>
      <c r="AA431" s="316"/>
      <c r="AB431" s="45"/>
      <c r="AC431" s="8"/>
      <c r="AD431" s="8"/>
      <c r="AE431" s="25"/>
      <c r="AF431" s="1050"/>
      <c r="AG431" s="1039"/>
      <c r="AZ431" s="143"/>
    </row>
    <row r="432" spans="2:52">
      <c r="B432" s="86"/>
      <c r="C432" s="28"/>
      <c r="D432" s="164"/>
      <c r="E432" s="29"/>
      <c r="F432" s="29"/>
      <c r="G432" s="263"/>
      <c r="H432" s="8"/>
      <c r="I432" s="8"/>
      <c r="J432" s="8"/>
      <c r="K432" s="7"/>
      <c r="L432" s="324"/>
      <c r="M432" s="38"/>
      <c r="N432" s="29"/>
      <c r="O432" s="9"/>
      <c r="P432" s="9"/>
      <c r="Q432" s="9"/>
      <c r="R432" s="9"/>
      <c r="S432" s="76"/>
      <c r="T432" s="8"/>
      <c r="U432" s="1011"/>
      <c r="V432" s="8"/>
      <c r="W432" s="8"/>
      <c r="X432" s="1011"/>
      <c r="Z432" s="143"/>
      <c r="AA432" s="316"/>
      <c r="AB432" s="45"/>
      <c r="AC432" s="8"/>
      <c r="AD432" s="8"/>
      <c r="AE432" s="25"/>
      <c r="AF432" s="1050"/>
      <c r="AG432" s="1039"/>
      <c r="AZ432" s="143"/>
    </row>
    <row r="433" spans="2:52">
      <c r="B433" s="86"/>
      <c r="C433" s="28"/>
      <c r="D433" s="164"/>
      <c r="E433" s="29"/>
      <c r="F433" s="29"/>
      <c r="G433" s="263"/>
      <c r="H433" s="8"/>
      <c r="I433" s="8"/>
      <c r="J433" s="8"/>
      <c r="K433" s="7"/>
      <c r="L433" s="324"/>
      <c r="M433" s="38"/>
      <c r="N433" s="29"/>
      <c r="O433" s="9"/>
      <c r="P433" s="9"/>
      <c r="Q433" s="9"/>
      <c r="R433" s="9"/>
      <c r="S433" s="76"/>
      <c r="T433" s="8"/>
      <c r="U433" s="1011"/>
      <c r="V433" s="8"/>
      <c r="W433" s="8"/>
      <c r="X433" s="1011"/>
      <c r="Z433" s="143"/>
      <c r="AA433" s="316"/>
      <c r="AB433" s="45"/>
      <c r="AC433" s="8"/>
      <c r="AD433" s="8"/>
      <c r="AE433" s="25"/>
      <c r="AF433" s="1050"/>
      <c r="AG433" s="1039"/>
      <c r="AZ433" s="143"/>
    </row>
    <row r="434" spans="2:52">
      <c r="B434" s="86"/>
      <c r="C434" s="28"/>
      <c r="D434" s="164"/>
      <c r="E434" s="29"/>
      <c r="F434" s="29"/>
      <c r="G434" s="263"/>
      <c r="H434" s="8"/>
      <c r="I434" s="8"/>
      <c r="J434" s="8"/>
      <c r="K434" s="7"/>
      <c r="L434" s="324"/>
      <c r="M434" s="38"/>
      <c r="N434" s="29"/>
      <c r="O434" s="9"/>
      <c r="P434" s="9"/>
      <c r="Q434" s="9"/>
      <c r="R434" s="9"/>
      <c r="S434" s="76"/>
      <c r="T434" s="8"/>
      <c r="U434" s="1011"/>
      <c r="V434" s="8"/>
      <c r="W434" s="8"/>
      <c r="X434" s="1011"/>
      <c r="Z434" s="143"/>
      <c r="AA434" s="316"/>
      <c r="AB434" s="45"/>
      <c r="AC434" s="8"/>
      <c r="AD434" s="8"/>
      <c r="AE434" s="25"/>
      <c r="AF434" s="1050"/>
      <c r="AG434" s="1039"/>
      <c r="AZ434" s="143"/>
    </row>
    <row r="435" spans="2:52">
      <c r="B435" s="86"/>
      <c r="C435" s="28"/>
      <c r="D435" s="164"/>
      <c r="E435" s="29"/>
      <c r="F435" s="29"/>
      <c r="G435" s="263"/>
      <c r="H435" s="8"/>
      <c r="I435" s="8"/>
      <c r="J435" s="8"/>
      <c r="K435" s="7"/>
      <c r="L435" s="324"/>
      <c r="M435" s="38"/>
      <c r="N435" s="29"/>
      <c r="O435" s="9"/>
      <c r="P435" s="9"/>
      <c r="Q435" s="9"/>
      <c r="R435" s="9"/>
      <c r="S435" s="76"/>
      <c r="T435" s="8"/>
      <c r="U435" s="1011"/>
      <c r="V435" s="8"/>
      <c r="W435" s="8"/>
      <c r="X435" s="1011"/>
      <c r="Z435" s="143"/>
      <c r="AA435" s="316"/>
      <c r="AB435" s="45"/>
      <c r="AC435" s="8"/>
      <c r="AD435" s="8"/>
      <c r="AE435" s="25"/>
      <c r="AF435" s="1050"/>
      <c r="AG435" s="1039"/>
      <c r="AZ435" s="143"/>
    </row>
    <row r="436" spans="2:52">
      <c r="B436" s="86"/>
      <c r="C436" s="28"/>
      <c r="D436" s="164"/>
      <c r="E436" s="29"/>
      <c r="F436" s="29"/>
      <c r="G436" s="263"/>
      <c r="H436" s="8"/>
      <c r="I436" s="8"/>
      <c r="J436" s="8"/>
      <c r="K436" s="7"/>
      <c r="L436" s="324"/>
      <c r="M436" s="38"/>
      <c r="N436" s="29"/>
      <c r="O436" s="9"/>
      <c r="P436" s="9"/>
      <c r="Q436" s="9"/>
      <c r="R436" s="9"/>
      <c r="S436" s="76"/>
      <c r="T436" s="8"/>
      <c r="U436" s="1011"/>
      <c r="V436" s="8"/>
      <c r="W436" s="8"/>
      <c r="X436" s="1011"/>
      <c r="Z436" s="143"/>
      <c r="AA436" s="316"/>
      <c r="AB436" s="45"/>
      <c r="AC436" s="8"/>
      <c r="AD436" s="8"/>
      <c r="AE436" s="25"/>
      <c r="AF436" s="1050"/>
      <c r="AG436" s="1039"/>
      <c r="AZ436" s="143"/>
    </row>
    <row r="437" spans="2:52">
      <c r="B437" s="86"/>
      <c r="C437" s="28"/>
      <c r="D437" s="164"/>
      <c r="E437" s="29"/>
      <c r="F437" s="29"/>
      <c r="G437" s="263"/>
      <c r="H437" s="8"/>
      <c r="I437" s="8"/>
      <c r="J437" s="8"/>
      <c r="K437" s="7"/>
      <c r="L437" s="324"/>
      <c r="M437" s="38"/>
      <c r="N437" s="29"/>
      <c r="O437" s="9"/>
      <c r="P437" s="9"/>
      <c r="Q437" s="9"/>
      <c r="R437" s="9"/>
      <c r="S437" s="76"/>
      <c r="T437" s="8"/>
      <c r="U437" s="1011"/>
      <c r="V437" s="8"/>
      <c r="W437" s="8"/>
      <c r="X437" s="1011"/>
      <c r="Z437" s="143"/>
      <c r="AA437" s="316"/>
      <c r="AB437" s="45"/>
      <c r="AC437" s="8"/>
      <c r="AD437" s="8"/>
      <c r="AE437" s="25"/>
      <c r="AF437" s="1050"/>
      <c r="AG437" s="1039"/>
      <c r="AZ437" s="143"/>
    </row>
    <row r="438" spans="2:52">
      <c r="B438" s="86"/>
      <c r="C438" s="28"/>
      <c r="D438" s="164"/>
      <c r="E438" s="29"/>
      <c r="F438" s="29"/>
      <c r="G438" s="263"/>
      <c r="H438" s="8"/>
      <c r="I438" s="8"/>
      <c r="J438" s="8"/>
      <c r="K438" s="7"/>
      <c r="L438" s="324"/>
      <c r="M438" s="38"/>
      <c r="N438" s="29"/>
      <c r="O438" s="9"/>
      <c r="P438" s="9"/>
      <c r="Q438" s="9"/>
      <c r="R438" s="9"/>
      <c r="S438" s="76"/>
      <c r="T438" s="8"/>
      <c r="U438" s="1011"/>
      <c r="V438" s="8"/>
      <c r="W438" s="8"/>
      <c r="X438" s="1011"/>
      <c r="Z438" s="143"/>
      <c r="AA438" s="316"/>
      <c r="AB438" s="45"/>
      <c r="AC438" s="8"/>
      <c r="AD438" s="8"/>
      <c r="AE438" s="25"/>
      <c r="AF438" s="1050"/>
      <c r="AG438" s="1039"/>
      <c r="AZ438" s="143"/>
    </row>
    <row r="439" spans="2:52">
      <c r="B439" s="86"/>
      <c r="C439" s="28"/>
      <c r="D439" s="164"/>
      <c r="E439" s="29"/>
      <c r="F439" s="29"/>
      <c r="G439" s="263"/>
      <c r="H439" s="8"/>
      <c r="I439" s="8"/>
      <c r="J439" s="8"/>
      <c r="K439" s="7"/>
      <c r="L439" s="324"/>
      <c r="M439" s="38"/>
      <c r="N439" s="29"/>
      <c r="O439" s="9"/>
      <c r="P439" s="9"/>
      <c r="Q439" s="9"/>
      <c r="R439" s="9"/>
      <c r="S439" s="76"/>
      <c r="T439" s="8"/>
      <c r="U439" s="1011"/>
      <c r="V439" s="8"/>
      <c r="W439" s="8"/>
      <c r="X439" s="1011"/>
      <c r="Z439" s="143"/>
      <c r="AA439" s="316"/>
      <c r="AB439" s="45"/>
      <c r="AC439" s="8"/>
      <c r="AD439" s="8"/>
      <c r="AE439" s="25"/>
      <c r="AF439" s="1050"/>
      <c r="AG439" s="1039"/>
      <c r="AZ439" s="143"/>
    </row>
    <row r="440" spans="2:52">
      <c r="B440" s="86"/>
      <c r="C440" s="28"/>
      <c r="D440" s="164"/>
      <c r="E440" s="29"/>
      <c r="F440" s="29"/>
      <c r="G440" s="263"/>
      <c r="H440" s="8"/>
      <c r="I440" s="8"/>
      <c r="J440" s="8"/>
      <c r="K440" s="7"/>
      <c r="L440" s="324"/>
      <c r="M440" s="38"/>
      <c r="N440" s="29"/>
      <c r="O440" s="9"/>
      <c r="P440" s="9"/>
      <c r="Q440" s="9"/>
      <c r="R440" s="9"/>
      <c r="S440" s="76"/>
      <c r="T440" s="8"/>
      <c r="U440" s="1011"/>
      <c r="V440" s="8"/>
      <c r="W440" s="8"/>
      <c r="X440" s="1011"/>
      <c r="Z440" s="143"/>
      <c r="AA440" s="316"/>
      <c r="AB440" s="45"/>
      <c r="AC440" s="8"/>
      <c r="AD440" s="8"/>
      <c r="AE440" s="25"/>
      <c r="AF440" s="1050"/>
      <c r="AG440" s="1039"/>
      <c r="AZ440" s="143"/>
    </row>
    <row r="441" spans="2:52">
      <c r="B441" s="86"/>
      <c r="C441" s="28"/>
      <c r="D441" s="164"/>
      <c r="E441" s="29"/>
      <c r="F441" s="29"/>
      <c r="G441" s="263"/>
      <c r="H441" s="8"/>
      <c r="I441" s="8"/>
      <c r="J441" s="8"/>
      <c r="K441" s="7"/>
      <c r="L441" s="324"/>
      <c r="M441" s="38"/>
      <c r="N441" s="29"/>
      <c r="O441" s="9"/>
      <c r="P441" s="9"/>
      <c r="Q441" s="9"/>
      <c r="R441" s="9"/>
      <c r="S441" s="76"/>
      <c r="T441" s="8"/>
      <c r="U441" s="1011"/>
      <c r="V441" s="8"/>
      <c r="W441" s="8"/>
      <c r="X441" s="1011"/>
      <c r="Z441" s="143"/>
      <c r="AA441" s="316"/>
      <c r="AB441" s="45"/>
      <c r="AC441" s="8"/>
      <c r="AD441" s="8"/>
      <c r="AE441" s="25"/>
      <c r="AF441" s="1050"/>
      <c r="AG441" s="1039"/>
      <c r="AZ441" s="143"/>
    </row>
    <row r="442" spans="2:52">
      <c r="B442" s="86"/>
      <c r="C442" s="28"/>
      <c r="D442" s="164"/>
      <c r="E442" s="29"/>
      <c r="F442" s="29"/>
      <c r="G442" s="263"/>
      <c r="H442" s="8"/>
      <c r="I442" s="8"/>
      <c r="J442" s="8"/>
      <c r="K442" s="7"/>
      <c r="L442" s="324"/>
      <c r="M442" s="38"/>
      <c r="N442" s="29"/>
      <c r="O442" s="9"/>
      <c r="P442" s="9"/>
      <c r="Q442" s="9"/>
      <c r="R442" s="9"/>
      <c r="S442" s="76"/>
      <c r="T442" s="8"/>
      <c r="U442" s="1011"/>
      <c r="V442" s="8"/>
      <c r="W442" s="8"/>
      <c r="X442" s="1011"/>
      <c r="Z442" s="143"/>
      <c r="AA442" s="316"/>
      <c r="AB442" s="45"/>
      <c r="AC442" s="8"/>
      <c r="AD442" s="8"/>
      <c r="AE442" s="25"/>
      <c r="AF442" s="1050"/>
      <c r="AG442" s="1039"/>
      <c r="AZ442" s="143"/>
    </row>
    <row r="443" spans="2:52">
      <c r="B443" s="86"/>
      <c r="C443" s="28"/>
      <c r="D443" s="164"/>
      <c r="E443" s="29"/>
      <c r="F443" s="29"/>
      <c r="G443" s="263"/>
      <c r="H443" s="8"/>
      <c r="I443" s="8"/>
      <c r="J443" s="8"/>
      <c r="K443" s="7"/>
      <c r="L443" s="324"/>
      <c r="M443" s="38"/>
      <c r="N443" s="29"/>
      <c r="O443" s="9"/>
      <c r="P443" s="9"/>
      <c r="Q443" s="9"/>
      <c r="R443" s="9"/>
      <c r="S443" s="76"/>
      <c r="T443" s="8"/>
      <c r="U443" s="1011"/>
      <c r="V443" s="8"/>
      <c r="W443" s="8"/>
      <c r="X443" s="1011"/>
      <c r="Z443" s="143"/>
      <c r="AA443" s="316"/>
      <c r="AB443" s="45"/>
      <c r="AC443" s="8"/>
      <c r="AD443" s="8"/>
      <c r="AE443" s="25"/>
      <c r="AF443" s="1050"/>
      <c r="AG443" s="1039"/>
      <c r="AZ443" s="143"/>
    </row>
    <row r="444" spans="2:52">
      <c r="B444" s="86"/>
      <c r="C444" s="28"/>
      <c r="D444" s="164"/>
      <c r="E444" s="29"/>
      <c r="F444" s="29"/>
      <c r="G444" s="263"/>
      <c r="H444" s="8"/>
      <c r="I444" s="8"/>
      <c r="J444" s="8"/>
      <c r="K444" s="7"/>
      <c r="L444" s="324"/>
      <c r="M444" s="38"/>
      <c r="N444" s="29"/>
      <c r="O444" s="9"/>
      <c r="P444" s="9"/>
      <c r="Q444" s="9"/>
      <c r="R444" s="9"/>
      <c r="S444" s="76"/>
      <c r="T444" s="8"/>
      <c r="U444" s="1011"/>
      <c r="V444" s="8"/>
      <c r="W444" s="8"/>
      <c r="X444" s="1011"/>
      <c r="Z444" s="143"/>
      <c r="AA444" s="316"/>
      <c r="AB444" s="45"/>
      <c r="AC444" s="8"/>
      <c r="AD444" s="8"/>
      <c r="AE444" s="25"/>
      <c r="AF444" s="1050"/>
      <c r="AG444" s="1039"/>
      <c r="AZ444" s="143"/>
    </row>
    <row r="445" spans="2:52">
      <c r="B445" s="86"/>
      <c r="C445" s="28"/>
      <c r="D445" s="164"/>
      <c r="E445" s="29"/>
      <c r="F445" s="29"/>
      <c r="G445" s="263"/>
      <c r="H445" s="8"/>
      <c r="I445" s="8"/>
      <c r="J445" s="8"/>
      <c r="K445" s="7"/>
      <c r="L445" s="324"/>
      <c r="M445" s="38"/>
      <c r="N445" s="29"/>
      <c r="O445" s="9"/>
      <c r="P445" s="9"/>
      <c r="Q445" s="9"/>
      <c r="R445" s="9"/>
      <c r="S445" s="76"/>
      <c r="T445" s="8"/>
      <c r="U445" s="1011"/>
      <c r="V445" s="8"/>
      <c r="W445" s="8"/>
      <c r="X445" s="1011"/>
      <c r="Z445" s="143"/>
      <c r="AA445" s="316"/>
      <c r="AB445" s="45"/>
      <c r="AC445" s="8"/>
      <c r="AD445" s="8"/>
      <c r="AE445" s="25"/>
      <c r="AF445" s="1050"/>
      <c r="AG445" s="1039"/>
      <c r="AZ445" s="143"/>
    </row>
    <row r="446" spans="2:52">
      <c r="B446" s="86"/>
      <c r="C446" s="28"/>
      <c r="D446" s="164"/>
      <c r="E446" s="29"/>
      <c r="F446" s="29"/>
      <c r="G446" s="263"/>
      <c r="H446" s="8"/>
      <c r="I446" s="8"/>
      <c r="J446" s="8"/>
      <c r="K446" s="7"/>
      <c r="L446" s="324"/>
      <c r="M446" s="38"/>
      <c r="N446" s="29"/>
      <c r="O446" s="9"/>
      <c r="P446" s="9"/>
      <c r="Q446" s="9"/>
      <c r="R446" s="9"/>
      <c r="S446" s="76"/>
      <c r="T446" s="8"/>
      <c r="U446" s="1011"/>
      <c r="V446" s="8"/>
      <c r="W446" s="8"/>
      <c r="X446" s="1011"/>
      <c r="Z446" s="143"/>
      <c r="AA446" s="316"/>
      <c r="AB446" s="45"/>
      <c r="AC446" s="8"/>
      <c r="AD446" s="8"/>
      <c r="AE446" s="25"/>
      <c r="AF446" s="1050"/>
      <c r="AG446" s="1039"/>
      <c r="AZ446" s="143"/>
    </row>
    <row r="447" spans="2:52">
      <c r="B447" s="86"/>
      <c r="C447" s="28"/>
      <c r="D447" s="164"/>
      <c r="E447" s="29"/>
      <c r="F447" s="29"/>
      <c r="G447" s="263"/>
      <c r="H447" s="8"/>
      <c r="I447" s="8"/>
      <c r="J447" s="8"/>
      <c r="K447" s="7"/>
      <c r="L447" s="324"/>
      <c r="M447" s="38"/>
      <c r="N447" s="29"/>
      <c r="O447" s="9"/>
      <c r="P447" s="9"/>
      <c r="Q447" s="9"/>
      <c r="R447" s="9"/>
      <c r="S447" s="76"/>
      <c r="T447" s="8"/>
      <c r="U447" s="1011"/>
      <c r="V447" s="8"/>
      <c r="W447" s="8"/>
      <c r="X447" s="1011"/>
      <c r="Z447" s="143"/>
      <c r="AA447" s="316"/>
      <c r="AB447" s="45"/>
      <c r="AC447" s="8"/>
      <c r="AD447" s="8"/>
      <c r="AE447" s="25"/>
      <c r="AF447" s="1050"/>
      <c r="AG447" s="1039"/>
      <c r="AZ447" s="143"/>
    </row>
    <row r="448" spans="2:52">
      <c r="B448" s="86"/>
      <c r="C448" s="28"/>
      <c r="D448" s="164"/>
      <c r="E448" s="29"/>
      <c r="F448" s="29"/>
      <c r="G448" s="263"/>
      <c r="H448" s="8"/>
      <c r="I448" s="8"/>
      <c r="J448" s="8"/>
      <c r="K448" s="7"/>
      <c r="L448" s="324"/>
      <c r="M448" s="38"/>
      <c r="N448" s="29"/>
      <c r="O448" s="9"/>
      <c r="P448" s="9"/>
      <c r="Q448" s="9"/>
      <c r="R448" s="9"/>
      <c r="S448" s="76"/>
      <c r="T448" s="8"/>
      <c r="U448" s="1011"/>
      <c r="V448" s="8"/>
      <c r="W448" s="8"/>
      <c r="X448" s="1011"/>
      <c r="Z448" s="143"/>
      <c r="AA448" s="316"/>
      <c r="AB448" s="45"/>
      <c r="AC448" s="8"/>
      <c r="AD448" s="8"/>
      <c r="AE448" s="25"/>
      <c r="AF448" s="1050"/>
      <c r="AG448" s="1039"/>
      <c r="AZ448" s="143"/>
    </row>
    <row r="449" spans="2:52">
      <c r="B449" s="86"/>
      <c r="C449" s="28"/>
      <c r="D449" s="164"/>
      <c r="E449" s="29"/>
      <c r="F449" s="29"/>
      <c r="G449" s="263"/>
      <c r="H449" s="8"/>
      <c r="I449" s="8"/>
      <c r="J449" s="8"/>
      <c r="K449" s="7"/>
      <c r="L449" s="324"/>
      <c r="M449" s="38"/>
      <c r="N449" s="29"/>
      <c r="O449" s="9"/>
      <c r="P449" s="9"/>
      <c r="Q449" s="9"/>
      <c r="R449" s="9"/>
      <c r="S449" s="76"/>
      <c r="T449" s="8"/>
      <c r="U449" s="1011"/>
      <c r="V449" s="8"/>
      <c r="W449" s="8"/>
      <c r="X449" s="1011"/>
      <c r="Z449" s="143"/>
      <c r="AA449" s="316"/>
      <c r="AB449" s="45"/>
      <c r="AC449" s="8"/>
      <c r="AD449" s="8"/>
      <c r="AE449" s="25"/>
      <c r="AF449" s="1050"/>
      <c r="AG449" s="1039"/>
      <c r="AZ449" s="143"/>
    </row>
    <row r="450" spans="2:52">
      <c r="B450" s="86"/>
      <c r="C450" s="28"/>
      <c r="D450" s="164"/>
      <c r="E450" s="29"/>
      <c r="F450" s="29"/>
      <c r="G450" s="263"/>
      <c r="H450" s="8"/>
      <c r="I450" s="8"/>
      <c r="J450" s="8"/>
      <c r="K450" s="7"/>
      <c r="L450" s="324"/>
      <c r="M450" s="38"/>
      <c r="N450" s="29"/>
      <c r="O450" s="9"/>
      <c r="P450" s="9"/>
      <c r="Q450" s="9"/>
      <c r="R450" s="9"/>
      <c r="S450" s="76"/>
      <c r="T450" s="8"/>
      <c r="U450" s="1011"/>
      <c r="V450" s="8"/>
      <c r="W450" s="8"/>
      <c r="X450" s="1011"/>
      <c r="Z450" s="143"/>
      <c r="AA450" s="316"/>
      <c r="AB450" s="45"/>
      <c r="AC450" s="8"/>
      <c r="AD450" s="8"/>
      <c r="AE450" s="25"/>
      <c r="AF450" s="1050"/>
      <c r="AG450" s="1039"/>
      <c r="AZ450" s="143"/>
    </row>
    <row r="451" spans="2:52">
      <c r="B451" s="86"/>
      <c r="C451" s="28"/>
      <c r="D451" s="164"/>
      <c r="E451" s="29"/>
      <c r="F451" s="29"/>
      <c r="G451" s="263"/>
      <c r="H451" s="8"/>
      <c r="I451" s="8"/>
      <c r="J451" s="8"/>
      <c r="K451" s="7"/>
      <c r="L451" s="324"/>
      <c r="M451" s="38"/>
      <c r="N451" s="29"/>
      <c r="O451" s="9"/>
      <c r="P451" s="9"/>
      <c r="Q451" s="9"/>
      <c r="R451" s="9"/>
      <c r="S451" s="76"/>
      <c r="T451" s="8"/>
      <c r="U451" s="1011"/>
      <c r="V451" s="8"/>
      <c r="W451" s="8"/>
      <c r="X451" s="1011"/>
      <c r="Z451" s="143"/>
      <c r="AA451" s="316"/>
      <c r="AB451" s="45"/>
      <c r="AC451" s="8"/>
      <c r="AD451" s="8"/>
      <c r="AE451" s="25"/>
      <c r="AF451" s="1050"/>
      <c r="AG451" s="1039"/>
      <c r="AZ451" s="143"/>
    </row>
    <row r="452" spans="2:52">
      <c r="B452" s="86"/>
      <c r="C452" s="28"/>
      <c r="D452" s="164"/>
      <c r="E452" s="29"/>
      <c r="F452" s="29"/>
      <c r="G452" s="263"/>
      <c r="H452" s="8"/>
      <c r="I452" s="8"/>
      <c r="J452" s="8"/>
      <c r="K452" s="7"/>
      <c r="L452" s="324"/>
      <c r="M452" s="38"/>
      <c r="N452" s="29"/>
      <c r="O452" s="9"/>
      <c r="P452" s="9"/>
      <c r="Q452" s="9"/>
      <c r="R452" s="9"/>
      <c r="S452" s="76"/>
      <c r="T452" s="8"/>
      <c r="U452" s="1011"/>
      <c r="V452" s="8"/>
      <c r="W452" s="8"/>
      <c r="X452" s="1011"/>
      <c r="Z452" s="143"/>
      <c r="AA452" s="316"/>
      <c r="AB452" s="45"/>
      <c r="AC452" s="8"/>
      <c r="AD452" s="8"/>
      <c r="AE452" s="25"/>
      <c r="AF452" s="1050"/>
      <c r="AG452" s="1039"/>
      <c r="AZ452" s="143"/>
    </row>
    <row r="453" spans="2:52">
      <c r="B453" s="86"/>
      <c r="C453" s="28"/>
      <c r="D453" s="164"/>
      <c r="E453" s="29"/>
      <c r="F453" s="29"/>
      <c r="G453" s="263"/>
      <c r="H453" s="8"/>
      <c r="I453" s="8"/>
      <c r="J453" s="8"/>
      <c r="K453" s="7"/>
      <c r="L453" s="324"/>
      <c r="M453" s="38"/>
      <c r="N453" s="29"/>
      <c r="O453" s="9"/>
      <c r="P453" s="9"/>
      <c r="Q453" s="9"/>
      <c r="R453" s="9"/>
      <c r="S453" s="76"/>
      <c r="T453" s="8"/>
      <c r="U453" s="1011"/>
      <c r="V453" s="8"/>
      <c r="W453" s="8"/>
      <c r="X453" s="1011"/>
      <c r="Z453" s="143"/>
      <c r="AA453" s="316"/>
      <c r="AB453" s="45"/>
      <c r="AC453" s="8"/>
      <c r="AD453" s="8"/>
      <c r="AE453" s="25"/>
      <c r="AF453" s="1050"/>
      <c r="AG453" s="1039"/>
      <c r="AZ453" s="143"/>
    </row>
    <row r="454" spans="2:52">
      <c r="B454" s="86"/>
      <c r="C454" s="28"/>
      <c r="D454" s="164"/>
      <c r="E454" s="29"/>
      <c r="F454" s="29"/>
      <c r="G454" s="263"/>
      <c r="H454" s="8"/>
      <c r="I454" s="8"/>
      <c r="J454" s="8"/>
      <c r="K454" s="7"/>
      <c r="L454" s="324"/>
      <c r="M454" s="38"/>
      <c r="N454" s="29"/>
      <c r="O454" s="9"/>
      <c r="P454" s="9"/>
      <c r="Q454" s="9"/>
      <c r="R454" s="9"/>
      <c r="S454" s="76"/>
      <c r="T454" s="8"/>
      <c r="U454" s="1011"/>
      <c r="V454" s="8"/>
      <c r="W454" s="8"/>
      <c r="X454" s="1011"/>
      <c r="Z454" s="143"/>
      <c r="AA454" s="316"/>
      <c r="AB454" s="45"/>
      <c r="AC454" s="8"/>
      <c r="AD454" s="8"/>
      <c r="AE454" s="25"/>
      <c r="AF454" s="1050"/>
      <c r="AG454" s="1039"/>
      <c r="AZ454" s="143"/>
    </row>
    <row r="455" spans="2:52">
      <c r="B455" s="86"/>
      <c r="C455" s="28"/>
      <c r="D455" s="164"/>
      <c r="E455" s="29"/>
      <c r="F455" s="29"/>
      <c r="G455" s="263"/>
      <c r="H455" s="8"/>
      <c r="I455" s="8"/>
      <c r="J455" s="8"/>
      <c r="K455" s="7"/>
      <c r="L455" s="324"/>
      <c r="M455" s="38"/>
      <c r="N455" s="29"/>
      <c r="O455" s="9"/>
      <c r="P455" s="9"/>
      <c r="Q455" s="9"/>
      <c r="R455" s="9"/>
      <c r="S455" s="76"/>
      <c r="T455" s="8"/>
      <c r="U455" s="1011"/>
      <c r="V455" s="8"/>
      <c r="W455" s="8"/>
      <c r="X455" s="1011"/>
      <c r="Z455" s="143"/>
      <c r="AA455" s="316"/>
      <c r="AB455" s="45"/>
      <c r="AC455" s="8"/>
      <c r="AD455" s="8"/>
      <c r="AE455" s="25"/>
      <c r="AF455" s="1050"/>
      <c r="AG455" s="1039"/>
      <c r="AZ455" s="143"/>
    </row>
    <row r="456" spans="2:52">
      <c r="B456" s="86"/>
      <c r="C456" s="28"/>
      <c r="D456" s="164"/>
      <c r="E456" s="29"/>
      <c r="F456" s="29"/>
      <c r="G456" s="263"/>
      <c r="H456" s="8"/>
      <c r="I456" s="8"/>
      <c r="J456" s="8"/>
      <c r="K456" s="7"/>
      <c r="L456" s="324"/>
      <c r="M456" s="38"/>
      <c r="N456" s="29"/>
      <c r="O456" s="9"/>
      <c r="P456" s="9"/>
      <c r="Q456" s="9"/>
      <c r="R456" s="9"/>
      <c r="S456" s="76"/>
      <c r="T456" s="8"/>
      <c r="U456" s="1011"/>
      <c r="V456" s="8"/>
      <c r="W456" s="8"/>
      <c r="X456" s="1011"/>
      <c r="Z456" s="143"/>
      <c r="AA456" s="316"/>
      <c r="AB456" s="45"/>
      <c r="AC456" s="8"/>
      <c r="AD456" s="8"/>
      <c r="AE456" s="25"/>
      <c r="AF456" s="1050"/>
      <c r="AG456" s="1039"/>
      <c r="AZ456" s="143"/>
    </row>
    <row r="457" spans="2:52">
      <c r="B457" s="86"/>
      <c r="C457" s="28"/>
      <c r="D457" s="164"/>
      <c r="E457" s="29"/>
      <c r="F457" s="29"/>
      <c r="G457" s="263"/>
      <c r="H457" s="8"/>
      <c r="I457" s="8"/>
      <c r="J457" s="8"/>
      <c r="K457" s="7"/>
      <c r="L457" s="324"/>
      <c r="M457" s="38"/>
      <c r="N457" s="29"/>
      <c r="O457" s="9"/>
      <c r="P457" s="9"/>
      <c r="Q457" s="9"/>
      <c r="R457" s="9"/>
      <c r="S457" s="76"/>
      <c r="T457" s="8"/>
      <c r="U457" s="1011"/>
      <c r="V457" s="8"/>
      <c r="W457" s="8"/>
      <c r="X457" s="1011"/>
      <c r="Z457" s="143"/>
      <c r="AA457" s="316"/>
      <c r="AB457" s="45"/>
      <c r="AC457" s="8"/>
      <c r="AD457" s="8"/>
      <c r="AE457" s="25"/>
      <c r="AF457" s="1050"/>
      <c r="AG457" s="1039"/>
      <c r="AZ457" s="143"/>
    </row>
    <row r="458" spans="2:52">
      <c r="B458" s="86"/>
      <c r="C458" s="28"/>
      <c r="D458" s="164"/>
      <c r="E458" s="29"/>
      <c r="F458" s="29"/>
      <c r="G458" s="263"/>
      <c r="H458" s="8"/>
      <c r="I458" s="8"/>
      <c r="J458" s="8"/>
      <c r="K458" s="7"/>
      <c r="L458" s="324"/>
      <c r="M458" s="38"/>
      <c r="N458" s="29"/>
      <c r="O458" s="9"/>
      <c r="P458" s="9"/>
      <c r="Q458" s="9"/>
      <c r="R458" s="9"/>
      <c r="S458" s="76"/>
      <c r="T458" s="8"/>
      <c r="U458" s="1011"/>
      <c r="V458" s="8"/>
      <c r="W458" s="8"/>
      <c r="X458" s="1011"/>
      <c r="Z458" s="143"/>
      <c r="AA458" s="316"/>
      <c r="AB458" s="45"/>
      <c r="AC458" s="8"/>
      <c r="AD458" s="8"/>
      <c r="AE458" s="25"/>
      <c r="AF458" s="1050"/>
      <c r="AG458" s="1039"/>
      <c r="AZ458" s="143"/>
    </row>
    <row r="459" spans="2:52">
      <c r="B459" s="86"/>
      <c r="C459" s="28"/>
      <c r="D459" s="164"/>
      <c r="E459" s="29"/>
      <c r="F459" s="29"/>
      <c r="G459" s="263"/>
      <c r="H459" s="8"/>
      <c r="I459" s="8"/>
      <c r="J459" s="8"/>
      <c r="K459" s="7"/>
      <c r="L459" s="324"/>
      <c r="M459" s="38"/>
      <c r="N459" s="29"/>
      <c r="O459" s="9"/>
      <c r="P459" s="9"/>
      <c r="Q459" s="9"/>
      <c r="R459" s="9"/>
      <c r="S459" s="76"/>
      <c r="T459" s="8"/>
      <c r="U459" s="1011"/>
      <c r="V459" s="8"/>
      <c r="W459" s="8"/>
      <c r="X459" s="1011"/>
      <c r="Z459" s="143"/>
      <c r="AA459" s="316"/>
      <c r="AB459" s="45"/>
      <c r="AC459" s="8"/>
      <c r="AD459" s="8"/>
      <c r="AE459" s="25"/>
      <c r="AF459" s="1050"/>
      <c r="AG459" s="1039"/>
      <c r="AZ459" s="143"/>
    </row>
    <row r="460" spans="2:52">
      <c r="B460" s="86"/>
      <c r="C460" s="28"/>
      <c r="D460" s="164"/>
      <c r="E460" s="29"/>
      <c r="F460" s="29"/>
      <c r="G460" s="263"/>
      <c r="H460" s="8"/>
      <c r="I460" s="8"/>
      <c r="J460" s="8"/>
      <c r="K460" s="7"/>
      <c r="L460" s="324"/>
      <c r="M460" s="38"/>
      <c r="N460" s="29"/>
      <c r="O460" s="9"/>
      <c r="P460" s="9"/>
      <c r="Q460" s="9"/>
      <c r="R460" s="9"/>
      <c r="S460" s="76"/>
      <c r="T460" s="8"/>
      <c r="U460" s="1011"/>
      <c r="V460" s="8"/>
      <c r="W460" s="8"/>
      <c r="X460" s="1011"/>
      <c r="Z460" s="143"/>
      <c r="AA460" s="316"/>
      <c r="AB460" s="45"/>
      <c r="AC460" s="8"/>
      <c r="AD460" s="8"/>
      <c r="AE460" s="25"/>
      <c r="AF460" s="1050"/>
      <c r="AG460" s="1039"/>
      <c r="AZ460" s="143"/>
    </row>
    <row r="461" spans="2:52">
      <c r="B461" s="86"/>
      <c r="C461" s="28"/>
      <c r="D461" s="164"/>
      <c r="E461" s="29"/>
      <c r="F461" s="29"/>
      <c r="G461" s="263"/>
      <c r="H461" s="8"/>
      <c r="I461" s="8"/>
      <c r="J461" s="8"/>
      <c r="K461" s="7"/>
      <c r="L461" s="324"/>
      <c r="M461" s="38"/>
      <c r="N461" s="29"/>
      <c r="O461" s="9"/>
      <c r="P461" s="9"/>
      <c r="Q461" s="9"/>
      <c r="R461" s="9"/>
      <c r="S461" s="76"/>
      <c r="T461" s="8"/>
      <c r="U461" s="1011"/>
      <c r="V461" s="8"/>
      <c r="W461" s="8"/>
      <c r="X461" s="1011"/>
      <c r="Z461" s="143"/>
      <c r="AA461" s="316"/>
      <c r="AB461" s="45"/>
      <c r="AC461" s="8"/>
      <c r="AD461" s="8"/>
      <c r="AE461" s="25"/>
      <c r="AF461" s="1050"/>
      <c r="AG461" s="1039"/>
      <c r="AZ461" s="143"/>
    </row>
    <row r="462" spans="2:52">
      <c r="B462" s="86"/>
      <c r="C462" s="28"/>
      <c r="D462" s="164"/>
      <c r="E462" s="29"/>
      <c r="F462" s="29"/>
      <c r="G462" s="263"/>
      <c r="H462" s="8"/>
      <c r="I462" s="8"/>
      <c r="J462" s="8"/>
      <c r="K462" s="7"/>
      <c r="L462" s="324"/>
      <c r="M462" s="38"/>
      <c r="N462" s="29"/>
      <c r="O462" s="9"/>
      <c r="P462" s="9"/>
      <c r="Q462" s="9"/>
      <c r="R462" s="9"/>
      <c r="S462" s="76"/>
      <c r="T462" s="8"/>
      <c r="U462" s="1011"/>
      <c r="V462" s="8"/>
      <c r="W462" s="8"/>
      <c r="X462" s="1011"/>
      <c r="Z462" s="143"/>
      <c r="AA462" s="316"/>
      <c r="AB462" s="45"/>
      <c r="AC462" s="8"/>
      <c r="AD462" s="8"/>
      <c r="AE462" s="25"/>
      <c r="AF462" s="1050"/>
      <c r="AG462" s="1039"/>
      <c r="AZ462" s="143"/>
    </row>
    <row r="463" spans="2:52">
      <c r="B463" s="86"/>
      <c r="C463" s="28"/>
      <c r="D463" s="164"/>
      <c r="E463" s="29"/>
      <c r="F463" s="29"/>
      <c r="G463" s="263"/>
      <c r="H463" s="8"/>
      <c r="I463" s="8"/>
      <c r="J463" s="8"/>
      <c r="K463" s="7"/>
      <c r="L463" s="324"/>
      <c r="M463" s="38"/>
      <c r="N463" s="29"/>
      <c r="O463" s="9"/>
      <c r="P463" s="9"/>
      <c r="Q463" s="9"/>
      <c r="R463" s="9"/>
      <c r="S463" s="76"/>
      <c r="T463" s="8"/>
      <c r="U463" s="1011"/>
      <c r="V463" s="8"/>
      <c r="W463" s="8"/>
      <c r="X463" s="1011"/>
      <c r="Z463" s="143"/>
      <c r="AA463" s="316"/>
      <c r="AB463" s="45"/>
      <c r="AC463" s="8"/>
      <c r="AD463" s="8"/>
      <c r="AE463" s="25"/>
      <c r="AF463" s="1050"/>
      <c r="AG463" s="1039"/>
      <c r="AZ463" s="143"/>
    </row>
    <row r="464" spans="2:52">
      <c r="B464" s="86"/>
      <c r="C464" s="28"/>
      <c r="D464" s="164"/>
      <c r="E464" s="29"/>
      <c r="F464" s="29"/>
      <c r="G464" s="263"/>
      <c r="H464" s="8"/>
      <c r="I464" s="8"/>
      <c r="J464" s="8"/>
      <c r="K464" s="7"/>
      <c r="L464" s="324"/>
      <c r="M464" s="38"/>
      <c r="N464" s="29"/>
      <c r="O464" s="9"/>
      <c r="P464" s="9"/>
      <c r="Q464" s="9"/>
      <c r="R464" s="9"/>
      <c r="S464" s="76"/>
      <c r="T464" s="8"/>
      <c r="U464" s="1011"/>
      <c r="V464" s="8"/>
      <c r="W464" s="8"/>
      <c r="X464" s="1011"/>
      <c r="Z464" s="143"/>
      <c r="AA464" s="316"/>
      <c r="AB464" s="45"/>
      <c r="AC464" s="8"/>
      <c r="AD464" s="8"/>
      <c r="AE464" s="25"/>
      <c r="AF464" s="1050"/>
      <c r="AG464" s="1039"/>
      <c r="AZ464" s="143"/>
    </row>
    <row r="465" spans="2:52">
      <c r="B465" s="86"/>
      <c r="C465" s="28"/>
      <c r="D465" s="164"/>
      <c r="E465" s="29"/>
      <c r="F465" s="29"/>
      <c r="G465" s="263"/>
      <c r="H465" s="8"/>
      <c r="I465" s="8"/>
      <c r="J465" s="8"/>
      <c r="K465" s="7"/>
      <c r="L465" s="324"/>
      <c r="M465" s="38"/>
      <c r="N465" s="29"/>
      <c r="O465" s="9"/>
      <c r="P465" s="9"/>
      <c r="Q465" s="9"/>
      <c r="R465" s="9"/>
      <c r="S465" s="76"/>
      <c r="T465" s="8"/>
      <c r="U465" s="1011"/>
      <c r="V465" s="8"/>
      <c r="W465" s="8"/>
      <c r="X465" s="1011"/>
      <c r="Z465" s="143"/>
      <c r="AA465" s="316"/>
      <c r="AB465" s="45"/>
      <c r="AC465" s="8"/>
      <c r="AD465" s="8"/>
      <c r="AE465" s="25"/>
      <c r="AF465" s="1050"/>
      <c r="AG465" s="1039"/>
      <c r="AZ465" s="143"/>
    </row>
    <row r="466" spans="2:52">
      <c r="B466" s="86"/>
      <c r="C466" s="28"/>
      <c r="D466" s="164"/>
      <c r="E466" s="29"/>
      <c r="F466" s="29"/>
      <c r="G466" s="263"/>
      <c r="H466" s="8"/>
      <c r="I466" s="8"/>
      <c r="J466" s="8"/>
      <c r="K466" s="7"/>
      <c r="L466" s="324"/>
      <c r="M466" s="38"/>
      <c r="N466" s="29"/>
      <c r="O466" s="9"/>
      <c r="P466" s="9"/>
      <c r="Q466" s="9"/>
      <c r="R466" s="9"/>
      <c r="S466" s="76"/>
      <c r="T466" s="8"/>
      <c r="U466" s="1011"/>
      <c r="V466" s="8"/>
      <c r="W466" s="8"/>
      <c r="X466" s="1011"/>
      <c r="Z466" s="143"/>
      <c r="AA466" s="316"/>
      <c r="AB466" s="45"/>
      <c r="AC466" s="8"/>
      <c r="AD466" s="8"/>
      <c r="AE466" s="25"/>
      <c r="AF466" s="1050"/>
      <c r="AG466" s="1039"/>
      <c r="AZ466" s="143"/>
    </row>
    <row r="467" spans="2:52">
      <c r="B467" s="86"/>
      <c r="C467" s="28"/>
      <c r="D467" s="164"/>
      <c r="E467" s="29"/>
      <c r="F467" s="29"/>
      <c r="G467" s="263"/>
      <c r="H467" s="8"/>
      <c r="I467" s="8"/>
      <c r="J467" s="8"/>
      <c r="K467" s="7"/>
      <c r="L467" s="324"/>
      <c r="M467" s="38"/>
      <c r="N467" s="29"/>
      <c r="O467" s="9"/>
      <c r="P467" s="9"/>
      <c r="Q467" s="9"/>
      <c r="R467" s="9"/>
      <c r="S467" s="76"/>
      <c r="T467" s="8"/>
      <c r="U467" s="1011"/>
      <c r="V467" s="8"/>
      <c r="W467" s="8"/>
      <c r="X467" s="1011"/>
      <c r="Z467" s="143"/>
      <c r="AA467" s="316"/>
      <c r="AB467" s="45"/>
      <c r="AC467" s="8"/>
      <c r="AD467" s="8"/>
      <c r="AE467" s="25"/>
      <c r="AF467" s="1050"/>
      <c r="AG467" s="1039"/>
      <c r="AZ467" s="143"/>
    </row>
    <row r="468" spans="2:52">
      <c r="B468" s="86"/>
      <c r="C468" s="28"/>
      <c r="D468" s="164"/>
      <c r="E468" s="29"/>
      <c r="F468" s="29"/>
      <c r="G468" s="263"/>
      <c r="H468" s="8"/>
      <c r="I468" s="8"/>
      <c r="J468" s="8"/>
      <c r="K468" s="7"/>
      <c r="L468" s="324"/>
      <c r="M468" s="38"/>
      <c r="N468" s="29"/>
      <c r="O468" s="9"/>
      <c r="P468" s="9"/>
      <c r="Q468" s="9"/>
      <c r="R468" s="9"/>
      <c r="S468" s="76"/>
      <c r="T468" s="8"/>
      <c r="U468" s="1011"/>
      <c r="V468" s="8"/>
      <c r="W468" s="8"/>
      <c r="X468" s="1011"/>
      <c r="Z468" s="143"/>
      <c r="AA468" s="316"/>
      <c r="AB468" s="45"/>
      <c r="AC468" s="8"/>
      <c r="AD468" s="8"/>
      <c r="AE468" s="25"/>
      <c r="AF468" s="1050"/>
      <c r="AG468" s="1039"/>
      <c r="AZ468" s="143"/>
    </row>
    <row r="469" spans="2:52">
      <c r="B469" s="86"/>
      <c r="C469" s="28"/>
      <c r="D469" s="164"/>
      <c r="E469" s="29"/>
      <c r="F469" s="29"/>
      <c r="G469" s="263"/>
      <c r="H469" s="8"/>
      <c r="I469" s="8"/>
      <c r="J469" s="8"/>
      <c r="K469" s="7"/>
      <c r="L469" s="324"/>
      <c r="M469" s="38"/>
      <c r="N469" s="29"/>
      <c r="O469" s="9"/>
      <c r="P469" s="9"/>
      <c r="Q469" s="9"/>
      <c r="R469" s="9"/>
      <c r="S469" s="76"/>
      <c r="T469" s="8"/>
      <c r="U469" s="1011"/>
      <c r="V469" s="8"/>
      <c r="W469" s="8"/>
      <c r="X469" s="1011"/>
      <c r="Z469" s="143"/>
      <c r="AA469" s="316"/>
      <c r="AB469" s="45"/>
      <c r="AC469" s="8"/>
      <c r="AD469" s="8"/>
      <c r="AE469" s="25"/>
      <c r="AF469" s="1050"/>
      <c r="AG469" s="1039"/>
      <c r="AZ469" s="143"/>
    </row>
    <row r="470" spans="2:52">
      <c r="B470" s="86"/>
      <c r="C470" s="28"/>
      <c r="D470" s="164"/>
      <c r="E470" s="29"/>
      <c r="F470" s="29"/>
      <c r="G470" s="263"/>
      <c r="H470" s="8"/>
      <c r="I470" s="8"/>
      <c r="J470" s="8"/>
      <c r="K470" s="7"/>
      <c r="L470" s="324"/>
      <c r="M470" s="38"/>
      <c r="N470" s="29"/>
      <c r="O470" s="9"/>
      <c r="P470" s="9"/>
      <c r="Q470" s="9"/>
      <c r="R470" s="9"/>
      <c r="S470" s="76"/>
      <c r="T470" s="8"/>
      <c r="U470" s="1011"/>
      <c r="V470" s="8"/>
      <c r="W470" s="8"/>
      <c r="X470" s="1011"/>
      <c r="Z470" s="143"/>
      <c r="AA470" s="316"/>
      <c r="AB470" s="45"/>
      <c r="AC470" s="8"/>
      <c r="AD470" s="8"/>
      <c r="AE470" s="25"/>
      <c r="AF470" s="1050"/>
      <c r="AG470" s="1039"/>
      <c r="AZ470" s="143"/>
    </row>
    <row r="471" spans="2:52">
      <c r="B471" s="86"/>
      <c r="C471" s="28"/>
      <c r="D471" s="164"/>
      <c r="E471" s="29"/>
      <c r="F471" s="29"/>
      <c r="G471" s="263"/>
      <c r="H471" s="8"/>
      <c r="I471" s="8"/>
      <c r="J471" s="8"/>
      <c r="K471" s="7"/>
      <c r="L471" s="324"/>
      <c r="M471" s="38"/>
      <c r="N471" s="29"/>
      <c r="O471" s="9"/>
      <c r="P471" s="9"/>
      <c r="Q471" s="9"/>
      <c r="R471" s="9"/>
      <c r="S471" s="76"/>
      <c r="T471" s="8"/>
      <c r="U471" s="1011"/>
      <c r="V471" s="8"/>
      <c r="W471" s="8"/>
      <c r="X471" s="1011"/>
      <c r="Z471" s="143"/>
      <c r="AA471" s="316"/>
      <c r="AB471" s="45"/>
      <c r="AC471" s="8"/>
      <c r="AD471" s="8"/>
      <c r="AE471" s="25"/>
      <c r="AF471" s="1050"/>
      <c r="AG471" s="1039"/>
      <c r="AZ471" s="143"/>
    </row>
    <row r="472" spans="2:52">
      <c r="B472" s="86"/>
      <c r="C472" s="28"/>
      <c r="D472" s="164"/>
      <c r="E472" s="29"/>
      <c r="F472" s="29"/>
      <c r="G472" s="263"/>
      <c r="H472" s="8"/>
      <c r="I472" s="8"/>
      <c r="J472" s="8"/>
      <c r="K472" s="7"/>
      <c r="L472" s="324"/>
      <c r="M472" s="38"/>
      <c r="N472" s="29"/>
      <c r="O472" s="9"/>
      <c r="P472" s="9"/>
      <c r="Q472" s="9"/>
      <c r="R472" s="9"/>
      <c r="S472" s="76"/>
      <c r="T472" s="8"/>
      <c r="U472" s="1011"/>
      <c r="V472" s="8"/>
      <c r="W472" s="8"/>
      <c r="X472" s="1011"/>
      <c r="Z472" s="143"/>
      <c r="AA472" s="316"/>
      <c r="AB472" s="45"/>
      <c r="AC472" s="8"/>
      <c r="AD472" s="8"/>
      <c r="AE472" s="25"/>
      <c r="AF472" s="1050"/>
      <c r="AG472" s="1039"/>
      <c r="AZ472" s="143"/>
    </row>
    <row r="473" spans="2:52">
      <c r="B473" s="86"/>
      <c r="C473" s="28"/>
      <c r="D473" s="164"/>
      <c r="E473" s="29"/>
      <c r="F473" s="29"/>
      <c r="G473" s="263"/>
      <c r="H473" s="8"/>
      <c r="I473" s="8"/>
      <c r="J473" s="8"/>
      <c r="K473" s="7"/>
      <c r="L473" s="324"/>
      <c r="M473" s="38"/>
      <c r="N473" s="29"/>
      <c r="O473" s="9"/>
      <c r="P473" s="9"/>
      <c r="Q473" s="9"/>
      <c r="R473" s="9"/>
      <c r="S473" s="76"/>
      <c r="T473" s="8"/>
      <c r="U473" s="1011"/>
      <c r="V473" s="8"/>
      <c r="W473" s="8"/>
      <c r="X473" s="1011"/>
      <c r="Z473" s="143"/>
      <c r="AA473" s="316"/>
      <c r="AB473" s="45"/>
      <c r="AC473" s="8"/>
      <c r="AD473" s="8"/>
      <c r="AE473" s="25"/>
      <c r="AF473" s="1050"/>
      <c r="AG473" s="1039"/>
      <c r="AZ473" s="143"/>
    </row>
    <row r="474" spans="2:52">
      <c r="B474" s="86"/>
      <c r="C474" s="28"/>
      <c r="D474" s="164"/>
      <c r="E474" s="29"/>
      <c r="F474" s="29"/>
      <c r="G474" s="263"/>
      <c r="H474" s="8"/>
      <c r="I474" s="8"/>
      <c r="J474" s="8"/>
      <c r="K474" s="7"/>
      <c r="L474" s="324"/>
      <c r="M474" s="38"/>
      <c r="N474" s="29"/>
      <c r="O474" s="9"/>
      <c r="P474" s="9"/>
      <c r="Q474" s="9"/>
      <c r="R474" s="9"/>
      <c r="S474" s="76"/>
      <c r="T474" s="8"/>
      <c r="U474" s="1011"/>
      <c r="V474" s="8"/>
      <c r="W474" s="8"/>
      <c r="X474" s="1011"/>
      <c r="Z474" s="143"/>
      <c r="AA474" s="316"/>
      <c r="AB474" s="45"/>
      <c r="AC474" s="8"/>
      <c r="AD474" s="8"/>
      <c r="AE474" s="25"/>
      <c r="AF474" s="1050"/>
      <c r="AG474" s="1039"/>
      <c r="AZ474" s="143"/>
    </row>
    <row r="475" spans="2:52">
      <c r="B475" s="86"/>
      <c r="C475" s="28"/>
      <c r="D475" s="164"/>
      <c r="E475" s="29"/>
      <c r="F475" s="29"/>
      <c r="G475" s="263"/>
      <c r="H475" s="8"/>
      <c r="I475" s="8"/>
      <c r="J475" s="8"/>
      <c r="K475" s="7"/>
      <c r="L475" s="324"/>
      <c r="M475" s="38"/>
      <c r="N475" s="29"/>
      <c r="O475" s="9"/>
      <c r="P475" s="9"/>
      <c r="Q475" s="9"/>
      <c r="R475" s="9"/>
      <c r="S475" s="76"/>
      <c r="T475" s="8"/>
      <c r="U475" s="1011"/>
      <c r="V475" s="8"/>
      <c r="W475" s="8"/>
      <c r="X475" s="1011"/>
      <c r="Z475" s="143"/>
      <c r="AA475" s="316"/>
      <c r="AB475" s="45"/>
      <c r="AC475" s="8"/>
      <c r="AD475" s="8"/>
      <c r="AE475" s="25"/>
      <c r="AF475" s="1050"/>
      <c r="AG475" s="1039"/>
      <c r="AZ475" s="143"/>
    </row>
    <row r="476" spans="2:52">
      <c r="B476" s="86"/>
      <c r="C476" s="28"/>
      <c r="D476" s="164"/>
      <c r="E476" s="29"/>
      <c r="F476" s="29"/>
      <c r="G476" s="263"/>
      <c r="H476" s="8"/>
      <c r="I476" s="8"/>
      <c r="J476" s="8"/>
      <c r="K476" s="7"/>
      <c r="L476" s="324"/>
      <c r="M476" s="38"/>
      <c r="N476" s="29"/>
      <c r="O476" s="9"/>
      <c r="P476" s="9"/>
      <c r="Q476" s="9"/>
      <c r="R476" s="9"/>
      <c r="S476" s="76"/>
      <c r="T476" s="8"/>
      <c r="U476" s="1011"/>
      <c r="V476" s="8"/>
      <c r="W476" s="8"/>
      <c r="X476" s="1011"/>
      <c r="Z476" s="143"/>
      <c r="AA476" s="316"/>
      <c r="AB476" s="45"/>
      <c r="AC476" s="8"/>
      <c r="AD476" s="8"/>
      <c r="AE476" s="25"/>
      <c r="AF476" s="1050"/>
      <c r="AG476" s="1039"/>
      <c r="AZ476" s="143"/>
    </row>
    <row r="477" spans="2:52">
      <c r="B477" s="86"/>
      <c r="C477" s="28"/>
      <c r="D477" s="164"/>
      <c r="E477" s="29"/>
      <c r="F477" s="29"/>
      <c r="G477" s="263"/>
      <c r="H477" s="8"/>
      <c r="I477" s="8"/>
      <c r="J477" s="8"/>
      <c r="K477" s="7"/>
      <c r="L477" s="324"/>
      <c r="M477" s="38"/>
      <c r="N477" s="29"/>
      <c r="O477" s="9"/>
      <c r="P477" s="9"/>
      <c r="Q477" s="9"/>
      <c r="R477" s="9"/>
      <c r="S477" s="76"/>
      <c r="T477" s="8"/>
      <c r="U477" s="1011"/>
      <c r="V477" s="8"/>
      <c r="W477" s="8"/>
      <c r="X477" s="1011"/>
      <c r="Z477" s="143"/>
      <c r="AA477" s="316"/>
      <c r="AB477" s="45"/>
      <c r="AC477" s="8"/>
      <c r="AD477" s="8"/>
      <c r="AE477" s="25"/>
      <c r="AF477" s="1050"/>
      <c r="AG477" s="1039"/>
      <c r="AZ477" s="143"/>
    </row>
    <row r="478" spans="2:52">
      <c r="B478" s="86"/>
      <c r="C478" s="28"/>
      <c r="D478" s="164"/>
      <c r="E478" s="29"/>
      <c r="F478" s="29"/>
      <c r="G478" s="263"/>
      <c r="H478" s="8"/>
      <c r="I478" s="8"/>
      <c r="J478" s="8"/>
      <c r="K478" s="7"/>
      <c r="L478" s="324"/>
      <c r="M478" s="38"/>
      <c r="N478" s="29"/>
      <c r="O478" s="9"/>
      <c r="P478" s="9"/>
      <c r="Q478" s="9"/>
      <c r="R478" s="9"/>
      <c r="S478" s="76"/>
      <c r="T478" s="8"/>
      <c r="U478" s="1011"/>
      <c r="V478" s="8"/>
      <c r="W478" s="8"/>
      <c r="X478" s="1011"/>
      <c r="Z478" s="143"/>
      <c r="AA478" s="316"/>
      <c r="AB478" s="45"/>
      <c r="AC478" s="8"/>
      <c r="AD478" s="8"/>
      <c r="AE478" s="25"/>
      <c r="AF478" s="1050"/>
      <c r="AG478" s="1039"/>
      <c r="AZ478" s="143"/>
    </row>
    <row r="479" spans="2:52">
      <c r="B479" s="86"/>
      <c r="C479" s="28"/>
      <c r="D479" s="164"/>
      <c r="E479" s="29"/>
      <c r="F479" s="29"/>
      <c r="G479" s="263"/>
      <c r="H479" s="8"/>
      <c r="I479" s="8"/>
      <c r="J479" s="8"/>
      <c r="K479" s="7"/>
      <c r="L479" s="324"/>
      <c r="M479" s="38"/>
      <c r="N479" s="29"/>
      <c r="O479" s="9"/>
      <c r="P479" s="9"/>
      <c r="Q479" s="9"/>
      <c r="R479" s="9"/>
      <c r="S479" s="76"/>
      <c r="T479" s="8"/>
      <c r="U479" s="1011"/>
      <c r="V479" s="8"/>
      <c r="W479" s="8"/>
      <c r="X479" s="1011"/>
      <c r="Z479" s="143"/>
      <c r="AA479" s="316"/>
      <c r="AB479" s="45"/>
      <c r="AC479" s="8"/>
      <c r="AD479" s="8"/>
      <c r="AE479" s="25"/>
      <c r="AF479" s="1050"/>
      <c r="AG479" s="1039"/>
      <c r="AZ479" s="143"/>
    </row>
    <row r="480" spans="2:52">
      <c r="B480" s="86"/>
      <c r="C480" s="28"/>
      <c r="D480" s="164"/>
      <c r="E480" s="29"/>
      <c r="F480" s="29"/>
      <c r="G480" s="263"/>
      <c r="H480" s="8"/>
      <c r="I480" s="8"/>
      <c r="J480" s="8"/>
      <c r="K480" s="7"/>
      <c r="L480" s="324"/>
      <c r="M480" s="38"/>
      <c r="N480" s="29"/>
      <c r="O480" s="9"/>
      <c r="P480" s="9"/>
      <c r="Q480" s="9"/>
      <c r="R480" s="9"/>
      <c r="S480" s="76"/>
      <c r="T480" s="8"/>
      <c r="U480" s="1011"/>
      <c r="V480" s="8"/>
      <c r="W480" s="8"/>
      <c r="X480" s="1011"/>
      <c r="Z480" s="143"/>
      <c r="AA480" s="316"/>
      <c r="AB480" s="45"/>
      <c r="AC480" s="8"/>
      <c r="AD480" s="8"/>
      <c r="AE480" s="25"/>
      <c r="AF480" s="1050"/>
      <c r="AG480" s="1039"/>
      <c r="AZ480" s="143"/>
    </row>
    <row r="481" spans="2:52">
      <c r="B481" s="86"/>
      <c r="C481" s="28"/>
      <c r="D481" s="164"/>
      <c r="E481" s="29"/>
      <c r="F481" s="29"/>
      <c r="G481" s="263"/>
      <c r="H481" s="8"/>
      <c r="I481" s="8"/>
      <c r="J481" s="8"/>
      <c r="K481" s="7"/>
      <c r="L481" s="324"/>
      <c r="M481" s="38"/>
      <c r="N481" s="29"/>
      <c r="O481" s="9"/>
      <c r="P481" s="9"/>
      <c r="Q481" s="9"/>
      <c r="R481" s="9"/>
      <c r="S481" s="76"/>
      <c r="T481" s="8"/>
      <c r="U481" s="1011"/>
      <c r="V481" s="8"/>
      <c r="W481" s="8"/>
      <c r="X481" s="1011"/>
      <c r="Z481" s="143"/>
      <c r="AA481" s="316"/>
      <c r="AB481" s="45"/>
      <c r="AC481" s="8"/>
      <c r="AD481" s="8"/>
      <c r="AE481" s="25"/>
      <c r="AF481" s="1050"/>
      <c r="AG481" s="1039"/>
      <c r="AZ481" s="143"/>
    </row>
    <row r="482" spans="2:52">
      <c r="B482" s="86"/>
      <c r="C482" s="28"/>
      <c r="D482" s="164"/>
      <c r="E482" s="29"/>
      <c r="F482" s="29"/>
      <c r="G482" s="263"/>
      <c r="H482" s="8"/>
      <c r="I482" s="8"/>
      <c r="J482" s="8"/>
      <c r="K482" s="7"/>
      <c r="L482" s="324"/>
      <c r="M482" s="38"/>
      <c r="N482" s="29"/>
      <c r="O482" s="9"/>
      <c r="P482" s="9"/>
      <c r="Q482" s="9"/>
      <c r="R482" s="9"/>
      <c r="S482" s="76"/>
      <c r="T482" s="8"/>
      <c r="U482" s="1011"/>
      <c r="V482" s="8"/>
      <c r="W482" s="8"/>
      <c r="X482" s="1011"/>
      <c r="Z482" s="143"/>
      <c r="AA482" s="316"/>
      <c r="AB482" s="45"/>
      <c r="AC482" s="8"/>
      <c r="AD482" s="8"/>
      <c r="AE482" s="25"/>
      <c r="AF482" s="1050"/>
      <c r="AG482" s="1039"/>
      <c r="AZ482" s="143"/>
    </row>
    <row r="483" spans="2:52">
      <c r="B483" s="86"/>
      <c r="C483" s="28"/>
      <c r="D483" s="164"/>
      <c r="E483" s="29"/>
      <c r="F483" s="29"/>
      <c r="G483" s="263"/>
      <c r="H483" s="8"/>
      <c r="I483" s="8"/>
      <c r="J483" s="8"/>
      <c r="K483" s="7"/>
      <c r="L483" s="324"/>
      <c r="M483" s="38"/>
      <c r="N483" s="29"/>
      <c r="O483" s="9"/>
      <c r="P483" s="9"/>
      <c r="Q483" s="9"/>
      <c r="R483" s="9"/>
      <c r="S483" s="76"/>
      <c r="T483" s="8"/>
      <c r="U483" s="1011"/>
      <c r="V483" s="8"/>
      <c r="W483" s="8"/>
      <c r="X483" s="1011"/>
      <c r="Z483" s="143"/>
      <c r="AA483" s="316"/>
      <c r="AB483" s="45"/>
      <c r="AC483" s="8"/>
      <c r="AD483" s="8"/>
      <c r="AE483" s="25"/>
      <c r="AF483" s="1050"/>
      <c r="AG483" s="1039"/>
      <c r="AZ483" s="143"/>
    </row>
    <row r="484" spans="2:52">
      <c r="B484" s="86"/>
      <c r="C484" s="28"/>
      <c r="D484" s="164"/>
      <c r="E484" s="29"/>
      <c r="F484" s="29"/>
      <c r="G484" s="263"/>
      <c r="H484" s="8"/>
      <c r="I484" s="8"/>
      <c r="J484" s="8"/>
      <c r="K484" s="7"/>
      <c r="L484" s="324"/>
      <c r="M484" s="38"/>
      <c r="N484" s="29"/>
      <c r="O484" s="9"/>
      <c r="P484" s="9"/>
      <c r="Q484" s="9"/>
      <c r="R484" s="9"/>
      <c r="S484" s="76"/>
      <c r="T484" s="8"/>
      <c r="U484" s="1011"/>
      <c r="V484" s="8"/>
      <c r="W484" s="8"/>
      <c r="X484" s="1011"/>
      <c r="Z484" s="143"/>
      <c r="AA484" s="316"/>
      <c r="AB484" s="45"/>
      <c r="AC484" s="8"/>
      <c r="AD484" s="8"/>
      <c r="AE484" s="25"/>
      <c r="AF484" s="1050"/>
      <c r="AG484" s="1039"/>
      <c r="AZ484" s="143"/>
    </row>
    <row r="485" spans="2:52">
      <c r="B485" s="86"/>
      <c r="C485" s="28"/>
      <c r="D485" s="164"/>
      <c r="E485" s="29"/>
      <c r="F485" s="29"/>
      <c r="G485" s="263"/>
      <c r="H485" s="8"/>
      <c r="I485" s="8"/>
      <c r="J485" s="8"/>
      <c r="K485" s="7"/>
      <c r="L485" s="324"/>
      <c r="M485" s="38"/>
      <c r="N485" s="29"/>
      <c r="O485" s="9"/>
      <c r="P485" s="9"/>
      <c r="Q485" s="9"/>
      <c r="R485" s="9"/>
      <c r="S485" s="76"/>
      <c r="T485" s="8"/>
      <c r="U485" s="1011"/>
      <c r="V485" s="8"/>
      <c r="W485" s="8"/>
      <c r="X485" s="1011"/>
      <c r="Z485" s="143"/>
      <c r="AA485" s="316"/>
      <c r="AB485" s="45"/>
      <c r="AC485" s="8"/>
      <c r="AD485" s="8"/>
      <c r="AE485" s="25"/>
      <c r="AF485" s="1050"/>
      <c r="AG485" s="1039"/>
      <c r="AZ485" s="143"/>
    </row>
    <row r="486" spans="2:52">
      <c r="B486" s="86"/>
      <c r="C486" s="28"/>
      <c r="D486" s="164"/>
      <c r="E486" s="29"/>
      <c r="F486" s="29"/>
      <c r="G486" s="263"/>
      <c r="H486" s="8"/>
      <c r="I486" s="8"/>
      <c r="J486" s="8"/>
      <c r="K486" s="7"/>
      <c r="L486" s="324"/>
      <c r="M486" s="38"/>
      <c r="N486" s="29"/>
      <c r="O486" s="9"/>
      <c r="P486" s="9"/>
      <c r="Q486" s="9"/>
      <c r="R486" s="9"/>
      <c r="S486" s="76"/>
      <c r="T486" s="8"/>
      <c r="U486" s="1011"/>
      <c r="V486" s="8"/>
      <c r="W486" s="8"/>
      <c r="X486" s="1011"/>
      <c r="Z486" s="143"/>
      <c r="AA486" s="316"/>
      <c r="AB486" s="45"/>
      <c r="AC486" s="8"/>
      <c r="AD486" s="8"/>
      <c r="AE486" s="25"/>
      <c r="AF486" s="1050"/>
      <c r="AG486" s="1039"/>
      <c r="AZ486" s="143"/>
    </row>
    <row r="487" spans="2:52">
      <c r="B487" s="86"/>
      <c r="C487" s="28"/>
      <c r="D487" s="164"/>
      <c r="E487" s="29"/>
      <c r="F487" s="29"/>
      <c r="G487" s="263"/>
      <c r="H487" s="8"/>
      <c r="I487" s="8"/>
      <c r="J487" s="8"/>
      <c r="K487" s="7"/>
      <c r="L487" s="324"/>
      <c r="M487" s="38"/>
      <c r="N487" s="29"/>
      <c r="O487" s="9"/>
      <c r="P487" s="9"/>
      <c r="Q487" s="9"/>
      <c r="R487" s="9"/>
      <c r="S487" s="76"/>
      <c r="T487" s="8"/>
      <c r="U487" s="1011"/>
      <c r="V487" s="8"/>
      <c r="W487" s="8"/>
      <c r="X487" s="1011"/>
      <c r="Z487" s="143"/>
      <c r="AA487" s="316"/>
      <c r="AB487" s="45"/>
      <c r="AC487" s="8"/>
      <c r="AD487" s="8"/>
      <c r="AE487" s="25"/>
      <c r="AF487" s="1050"/>
      <c r="AG487" s="1039"/>
      <c r="AZ487" s="143"/>
    </row>
    <row r="488" spans="2:52">
      <c r="B488" s="86"/>
      <c r="C488" s="28"/>
      <c r="D488" s="164"/>
      <c r="E488" s="29"/>
      <c r="F488" s="29"/>
      <c r="G488" s="263"/>
      <c r="H488" s="8"/>
      <c r="I488" s="8"/>
      <c r="J488" s="8"/>
      <c r="K488" s="7"/>
      <c r="L488" s="324"/>
      <c r="M488" s="38"/>
      <c r="N488" s="29"/>
      <c r="O488" s="9"/>
      <c r="P488" s="9"/>
      <c r="Q488" s="9"/>
      <c r="R488" s="9"/>
      <c r="S488" s="76"/>
      <c r="T488" s="8"/>
      <c r="U488" s="1011"/>
      <c r="V488" s="8"/>
      <c r="W488" s="8"/>
      <c r="X488" s="1011"/>
      <c r="Z488" s="143"/>
      <c r="AA488" s="316"/>
      <c r="AB488" s="45"/>
      <c r="AC488" s="8"/>
      <c r="AD488" s="8"/>
      <c r="AE488" s="25"/>
      <c r="AF488" s="1050"/>
      <c r="AG488" s="1039"/>
      <c r="AZ488" s="143"/>
    </row>
    <row r="489" spans="2:52">
      <c r="B489" s="86"/>
      <c r="C489" s="28"/>
      <c r="D489" s="164"/>
      <c r="E489" s="29"/>
      <c r="F489" s="29"/>
      <c r="G489" s="263"/>
      <c r="H489" s="8"/>
      <c r="I489" s="8"/>
      <c r="J489" s="8"/>
      <c r="K489" s="7"/>
      <c r="L489" s="324"/>
      <c r="M489" s="38"/>
      <c r="N489" s="29"/>
      <c r="O489" s="9"/>
      <c r="P489" s="9"/>
      <c r="Q489" s="9"/>
      <c r="R489" s="9"/>
      <c r="S489" s="76"/>
      <c r="T489" s="8"/>
      <c r="U489" s="1011"/>
      <c r="V489" s="8"/>
      <c r="W489" s="8"/>
      <c r="X489" s="1011"/>
      <c r="Z489" s="143"/>
      <c r="AA489" s="316"/>
      <c r="AB489" s="45"/>
      <c r="AC489" s="8"/>
      <c r="AD489" s="8"/>
      <c r="AE489" s="25"/>
      <c r="AF489" s="1050"/>
      <c r="AG489" s="1039"/>
      <c r="AZ489" s="143"/>
    </row>
    <row r="490" spans="2:52">
      <c r="B490" s="86"/>
      <c r="C490" s="28"/>
      <c r="D490" s="164"/>
      <c r="E490" s="29"/>
      <c r="F490" s="29"/>
      <c r="G490" s="263"/>
      <c r="H490" s="8"/>
      <c r="I490" s="8"/>
      <c r="J490" s="8"/>
      <c r="K490" s="7"/>
      <c r="L490" s="324"/>
      <c r="M490" s="38"/>
      <c r="N490" s="29"/>
      <c r="O490" s="9"/>
      <c r="P490" s="9"/>
      <c r="Q490" s="9"/>
      <c r="R490" s="9"/>
      <c r="S490" s="76"/>
      <c r="T490" s="8"/>
      <c r="U490" s="1011"/>
      <c r="V490" s="8"/>
      <c r="W490" s="8"/>
      <c r="X490" s="1011"/>
      <c r="Z490" s="143"/>
      <c r="AA490" s="316"/>
      <c r="AB490" s="45"/>
      <c r="AC490" s="8"/>
      <c r="AD490" s="8"/>
      <c r="AE490" s="25"/>
      <c r="AF490" s="1050"/>
      <c r="AG490" s="1039"/>
      <c r="AZ490" s="143"/>
    </row>
    <row r="491" spans="2:52">
      <c r="B491" s="86"/>
      <c r="C491" s="28"/>
      <c r="D491" s="164"/>
      <c r="E491" s="29"/>
      <c r="F491" s="29"/>
      <c r="G491" s="263"/>
      <c r="H491" s="8"/>
      <c r="I491" s="8"/>
      <c r="J491" s="8"/>
      <c r="K491" s="7"/>
      <c r="L491" s="324"/>
      <c r="M491" s="38"/>
      <c r="N491" s="29"/>
      <c r="O491" s="9"/>
      <c r="P491" s="9"/>
      <c r="Q491" s="9"/>
      <c r="R491" s="9"/>
      <c r="S491" s="76"/>
      <c r="T491" s="8"/>
      <c r="U491" s="1011"/>
      <c r="V491" s="8"/>
      <c r="W491" s="8"/>
      <c r="X491" s="1011"/>
      <c r="Z491" s="143"/>
      <c r="AA491" s="316"/>
      <c r="AB491" s="45"/>
      <c r="AC491" s="8"/>
      <c r="AD491" s="8"/>
      <c r="AE491" s="25"/>
      <c r="AF491" s="1050"/>
      <c r="AG491" s="1039"/>
      <c r="AZ491" s="143"/>
    </row>
    <row r="492" spans="2:52">
      <c r="B492" s="86"/>
      <c r="C492" s="28"/>
      <c r="D492" s="164"/>
      <c r="E492" s="29"/>
      <c r="F492" s="29"/>
      <c r="G492" s="263"/>
      <c r="H492" s="8"/>
      <c r="I492" s="8"/>
      <c r="J492" s="8"/>
      <c r="K492" s="7"/>
      <c r="L492" s="324"/>
      <c r="M492" s="38"/>
      <c r="N492" s="29"/>
      <c r="O492" s="9"/>
      <c r="P492" s="9"/>
      <c r="Q492" s="9"/>
      <c r="R492" s="9"/>
      <c r="S492" s="76"/>
      <c r="T492" s="8"/>
      <c r="U492" s="1011"/>
      <c r="V492" s="8"/>
      <c r="W492" s="8"/>
      <c r="X492" s="1011"/>
      <c r="Z492" s="143"/>
      <c r="AA492" s="316"/>
      <c r="AB492" s="45"/>
      <c r="AC492" s="8"/>
      <c r="AD492" s="8"/>
      <c r="AE492" s="25"/>
      <c r="AF492" s="1050"/>
      <c r="AG492" s="1039"/>
      <c r="AZ492" s="143"/>
    </row>
    <row r="493" spans="2:52">
      <c r="B493" s="86"/>
      <c r="C493" s="28"/>
      <c r="D493" s="164"/>
      <c r="E493" s="29"/>
      <c r="F493" s="29"/>
      <c r="G493" s="263"/>
      <c r="H493" s="8"/>
      <c r="I493" s="8"/>
      <c r="J493" s="8"/>
      <c r="K493" s="7"/>
      <c r="L493" s="324"/>
      <c r="M493" s="38"/>
      <c r="N493" s="29"/>
      <c r="O493" s="9"/>
      <c r="P493" s="9"/>
      <c r="Q493" s="9"/>
      <c r="R493" s="9"/>
      <c r="S493" s="76"/>
      <c r="T493" s="8"/>
      <c r="U493" s="1011"/>
      <c r="V493" s="8"/>
      <c r="W493" s="8"/>
      <c r="X493" s="1011"/>
      <c r="Z493" s="143"/>
      <c r="AA493" s="316"/>
      <c r="AB493" s="45"/>
      <c r="AC493" s="8"/>
      <c r="AD493" s="8"/>
      <c r="AE493" s="25"/>
      <c r="AF493" s="1050"/>
      <c r="AG493" s="1039"/>
      <c r="AZ493" s="143"/>
    </row>
  </sheetData>
  <phoneticPr fontId="45" type="noConversion"/>
  <conditionalFormatting sqref="D20">
    <cfRule type="cellIs" dxfId="6" priority="10" operator="lessThan">
      <formula>0</formula>
    </cfRule>
  </conditionalFormatting>
  <conditionalFormatting sqref="D26">
    <cfRule type="cellIs" dxfId="5" priority="1" operator="lessThan">
      <formula>0</formula>
    </cfRule>
  </conditionalFormatting>
  <conditionalFormatting sqref="D29">
    <cfRule type="cellIs" dxfId="4" priority="4" operator="lessThan">
      <formula>0</formula>
    </cfRule>
  </conditionalFormatting>
  <conditionalFormatting sqref="D39">
    <cfRule type="cellIs" dxfId="3" priority="5" operator="lessThan">
      <formula>0</formula>
    </cfRule>
    <cfRule type="cellIs" dxfId="2" priority="6" operator="greaterThanOrEqual">
      <formula>0</formula>
    </cfRule>
  </conditionalFormatting>
  <conditionalFormatting sqref="BG17:BG19">
    <cfRule type="uniqueValues" dxfId="1" priority="3"/>
  </conditionalFormatting>
  <conditionalFormatting sqref="BG152:BG154">
    <cfRule type="uniqueValues" dxfId="0" priority="2"/>
  </conditionalFormatting>
  <pageMargins left="0.7" right="0.7" top="0.75" bottom="0.75" header="0.3" footer="0.3"/>
  <pageSetup orientation="portrait" r:id="rId1"/>
  <ignoredErrors>
    <ignoredError sqref="G26:G28 G37 G40 G31 G43 G15 G60 G80 G17 G116 G138 G99 G83 G92 G90 G131" numberStoredAsText="1"/>
    <ignoredError sqref="BE48 BE46 BE63 BE134"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383CF-DF39-4D68-BF4F-01B15F06CECA}">
  <dimension ref="A1:DP157"/>
  <sheetViews>
    <sheetView zoomScaleNormal="100" workbookViewId="0">
      <pane xSplit="1" ySplit="7" topLeftCell="B68" activePane="bottomRight" state="frozen"/>
      <selection pane="topRight" activeCell="B1" sqref="B1"/>
      <selection pane="bottomLeft" activeCell="A8" sqref="A8"/>
      <selection pane="bottomRight" activeCell="O90" sqref="O90"/>
    </sheetView>
  </sheetViews>
  <sheetFormatPr defaultColWidth="9.140625" defaultRowHeight="15"/>
  <cols>
    <col min="1" max="1" width="4" style="91" bestFit="1" customWidth="1"/>
    <col min="2" max="2" width="31" style="853" customWidth="1"/>
    <col min="3" max="3" width="6.5703125" style="72" customWidth="1"/>
    <col min="4" max="4" width="5.5703125" style="234" customWidth="1"/>
    <col min="5" max="5" width="7.140625" style="234" customWidth="1"/>
    <col min="6" max="6" width="7" style="62" customWidth="1"/>
    <col min="7" max="7" width="6.42578125" style="62" bestFit="1" customWidth="1"/>
    <col min="8" max="10" width="5.28515625" style="234" customWidth="1"/>
    <col min="11" max="11" width="9" style="460" customWidth="1"/>
    <col min="12" max="12" width="11" style="65" customWidth="1"/>
    <col min="13" max="13" width="15.5703125" style="65" customWidth="1"/>
    <col min="14" max="15" width="15.5703125" style="69" customWidth="1"/>
    <col min="16" max="16" width="37.28515625" style="70" customWidth="1"/>
    <col min="17" max="17" width="29.7109375" style="219" customWidth="1"/>
    <col min="18" max="18" width="19.42578125" style="220" customWidth="1"/>
    <col min="19" max="19" width="33.85546875" style="841" bestFit="1" customWidth="1"/>
    <col min="20" max="16384" width="9.140625" style="1"/>
  </cols>
  <sheetData>
    <row r="1" spans="1:120">
      <c r="B1" s="276"/>
      <c r="C1" s="70"/>
      <c r="D1" s="221"/>
      <c r="E1" s="221"/>
      <c r="F1" s="67"/>
      <c r="G1" s="67"/>
      <c r="H1" s="221"/>
      <c r="I1" s="221"/>
      <c r="J1" s="221"/>
      <c r="K1" s="445"/>
      <c r="L1" s="69"/>
      <c r="M1" s="69"/>
    </row>
    <row r="2" spans="1:120">
      <c r="B2" s="850" t="s">
        <v>221</v>
      </c>
      <c r="C2" s="70"/>
      <c r="D2" s="221"/>
      <c r="E2" s="221"/>
      <c r="F2" s="67"/>
      <c r="G2" s="67"/>
      <c r="H2" s="221"/>
      <c r="I2" s="221"/>
      <c r="J2" s="221"/>
      <c r="K2" s="445"/>
      <c r="L2" s="69"/>
      <c r="M2" s="69"/>
    </row>
    <row r="3" spans="1:120">
      <c r="B3" s="74"/>
      <c r="C3" s="101"/>
      <c r="D3" s="222"/>
      <c r="E3" s="222"/>
      <c r="F3" s="646" t="s">
        <v>9</v>
      </c>
      <c r="G3" s="646" t="s">
        <v>9</v>
      </c>
      <c r="H3" s="223" t="s">
        <v>9</v>
      </c>
      <c r="I3" s="223" t="s">
        <v>9</v>
      </c>
      <c r="J3" s="224" t="s">
        <v>9</v>
      </c>
      <c r="K3" s="446"/>
      <c r="L3" s="36"/>
      <c r="M3" s="36"/>
      <c r="N3" s="36"/>
      <c r="O3" s="36"/>
      <c r="Q3" s="220"/>
    </row>
    <row r="4" spans="1:120">
      <c r="B4" s="74"/>
      <c r="C4" s="102"/>
      <c r="D4" s="225" t="s">
        <v>9</v>
      </c>
      <c r="E4" s="225" t="s">
        <v>9</v>
      </c>
      <c r="F4" s="647" t="s">
        <v>2</v>
      </c>
      <c r="G4" s="647" t="s">
        <v>2</v>
      </c>
      <c r="H4" s="226" t="s">
        <v>2</v>
      </c>
      <c r="I4" s="226" t="s">
        <v>2</v>
      </c>
      <c r="J4" s="227" t="s">
        <v>2</v>
      </c>
      <c r="K4" s="447" t="s">
        <v>9</v>
      </c>
      <c r="L4" s="104" t="s">
        <v>9</v>
      </c>
      <c r="M4" s="104" t="s">
        <v>54</v>
      </c>
      <c r="N4" s="104" t="s">
        <v>57</v>
      </c>
      <c r="O4" s="126"/>
      <c r="P4" s="100"/>
      <c r="Q4" s="220"/>
    </row>
    <row r="5" spans="1:120">
      <c r="B5" s="74"/>
      <c r="C5" s="103"/>
      <c r="D5" s="228" t="s">
        <v>5</v>
      </c>
      <c r="E5" s="229" t="s">
        <v>41</v>
      </c>
      <c r="F5" s="648" t="s">
        <v>38</v>
      </c>
      <c r="G5" s="648" t="s">
        <v>218</v>
      </c>
      <c r="H5" s="229" t="s">
        <v>37</v>
      </c>
      <c r="I5" s="229" t="s">
        <v>381</v>
      </c>
      <c r="J5" s="229" t="s">
        <v>35</v>
      </c>
      <c r="K5" s="448" t="s">
        <v>130</v>
      </c>
      <c r="L5" s="96" t="s">
        <v>46</v>
      </c>
      <c r="M5" s="96" t="s">
        <v>53</v>
      </c>
      <c r="N5" s="96" t="s">
        <v>55</v>
      </c>
      <c r="O5" s="126"/>
      <c r="P5" s="100"/>
      <c r="Q5" s="220"/>
    </row>
    <row r="6" spans="1:120">
      <c r="B6" s="75"/>
      <c r="C6" s="97"/>
      <c r="D6" s="230" t="s">
        <v>39</v>
      </c>
      <c r="E6" s="230" t="s">
        <v>39</v>
      </c>
      <c r="F6" s="649" t="s">
        <v>42</v>
      </c>
      <c r="G6" s="649" t="s">
        <v>2</v>
      </c>
      <c r="H6" s="230" t="s">
        <v>2</v>
      </c>
      <c r="I6" s="230" t="s">
        <v>44</v>
      </c>
      <c r="J6" s="230" t="s">
        <v>44</v>
      </c>
      <c r="K6" s="448" t="s">
        <v>3</v>
      </c>
      <c r="L6" s="96" t="s">
        <v>78</v>
      </c>
      <c r="M6" s="96" t="s">
        <v>4</v>
      </c>
      <c r="N6" s="96" t="s">
        <v>4</v>
      </c>
      <c r="O6" s="104" t="s">
        <v>61</v>
      </c>
      <c r="P6" s="100"/>
      <c r="Q6" s="257" t="s">
        <v>138</v>
      </c>
    </row>
    <row r="7" spans="1:120" s="2" customFormat="1">
      <c r="A7" s="383"/>
      <c r="B7" s="54" t="s">
        <v>52</v>
      </c>
      <c r="C7" s="98" t="s">
        <v>12</v>
      </c>
      <c r="D7" s="229" t="s">
        <v>40</v>
      </c>
      <c r="E7" s="229" t="s">
        <v>40</v>
      </c>
      <c r="F7" s="648" t="s">
        <v>43</v>
      </c>
      <c r="G7" s="648"/>
      <c r="H7" s="229"/>
      <c r="I7" s="229" t="s">
        <v>45</v>
      </c>
      <c r="J7" s="229" t="s">
        <v>45</v>
      </c>
      <c r="K7" s="449" t="s">
        <v>6</v>
      </c>
      <c r="L7" s="99" t="s">
        <v>79</v>
      </c>
      <c r="M7" s="99" t="s">
        <v>1</v>
      </c>
      <c r="N7" s="99" t="s">
        <v>56</v>
      </c>
      <c r="O7" s="96" t="s">
        <v>62</v>
      </c>
      <c r="P7" s="127" t="s">
        <v>19</v>
      </c>
      <c r="Q7" s="352" t="s">
        <v>125</v>
      </c>
      <c r="R7" s="1128" t="s">
        <v>116</v>
      </c>
      <c r="S7" s="84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row>
    <row r="8" spans="1:120" s="91" customFormat="1" ht="15" customHeight="1">
      <c r="A8" s="679">
        <v>1</v>
      </c>
      <c r="B8" s="1152" t="str">
        <f>Periode!B8</f>
        <v>Ruben Hellemons</v>
      </c>
      <c r="C8" s="374" t="str">
        <f>Periode!H8</f>
        <v>UTA</v>
      </c>
      <c r="D8" s="663">
        <f>'WK22'!D8+'WK21'!D8+'WK23'!D8+'WK24'!D8</f>
        <v>18</v>
      </c>
      <c r="E8" s="664">
        <f>'WK22'!E8+'WK21'!E8+'WK23'!E8+'WK24'!E8</f>
        <v>144</v>
      </c>
      <c r="F8" s="664">
        <f>'WK22'!F8+'WK21'!F8+'WK23'!F8+'WK24'!F8</f>
        <v>8</v>
      </c>
      <c r="G8" s="664">
        <f>'WK22'!G8+'WK21'!G8+'WK23'!G8+'WK24'!G8</f>
        <v>0</v>
      </c>
      <c r="H8" s="663">
        <f>'WK22'!H8+'WK21'!H8+'WK23'!H8+'WK24'!H8</f>
        <v>0</v>
      </c>
      <c r="I8" s="663">
        <f>'WK22'!I8+'WK21'!I8+'WK23'!I8+'WK24'!I8</f>
        <v>0</v>
      </c>
      <c r="J8" s="664">
        <f>'WK22'!J8+'WK21'!J8+'WK23'!J8+'WK24'!J8</f>
        <v>8</v>
      </c>
      <c r="K8" s="453">
        <f>'WK22'!N8+'WK21'!N8+'WK23'!N8+'WK24'!N8</f>
        <v>0</v>
      </c>
      <c r="L8" s="206">
        <f>'WK22'!P8+'WK21'!P8+'WK23'!P8+'WK24'!P8</f>
        <v>0</v>
      </c>
      <c r="M8" s="206">
        <f>'WK22'!Q8+'WK21'!Q8+'WK23'!Q8</f>
        <v>2156.00072</v>
      </c>
      <c r="N8" s="206">
        <f>'WK24'!Q8</f>
        <v>721.11999999999989</v>
      </c>
      <c r="O8" s="173">
        <f t="shared" ref="O8" si="0">M8+N8</f>
        <v>2877.1207199999999</v>
      </c>
      <c r="P8" s="341"/>
      <c r="Q8" s="423">
        <f>(378.99+11)+(194.1+22)+(168.21+16.5)+(175.41+16.5)+(169.29+15.4)+(152.21+19.8)</f>
        <v>1339.41</v>
      </c>
      <c r="R8" s="1129"/>
      <c r="S8" s="842"/>
    </row>
    <row r="9" spans="1:120" s="91" customFormat="1" ht="15" customHeight="1">
      <c r="B9" s="5"/>
      <c r="C9" s="5"/>
      <c r="D9" s="258"/>
      <c r="E9" s="426"/>
      <c r="F9" s="426"/>
      <c r="G9" s="426"/>
      <c r="H9" s="258"/>
      <c r="I9" s="258"/>
      <c r="J9" s="426"/>
      <c r="K9" s="450"/>
      <c r="L9" s="6"/>
      <c r="M9" s="6"/>
      <c r="N9" s="30"/>
      <c r="O9" s="173"/>
      <c r="P9" s="341"/>
      <c r="Q9" s="545"/>
      <c r="R9" s="1130"/>
      <c r="S9" s="843"/>
    </row>
    <row r="10" spans="1:120" s="87" customFormat="1">
      <c r="A10" s="91"/>
      <c r="B10" s="851"/>
      <c r="C10" s="590"/>
      <c r="D10" s="231"/>
      <c r="E10" s="625"/>
      <c r="F10" s="625"/>
      <c r="G10" s="625"/>
      <c r="H10" s="231"/>
      <c r="I10" s="231"/>
      <c r="J10" s="625"/>
      <c r="K10" s="459"/>
      <c r="L10" s="107"/>
      <c r="M10" s="107"/>
      <c r="N10" s="419"/>
      <c r="O10" s="173"/>
      <c r="P10" s="276"/>
      <c r="Q10" s="596"/>
      <c r="R10" s="1130"/>
      <c r="S10" s="840"/>
    </row>
    <row r="11" spans="1:120" s="607" customFormat="1" ht="15" customHeight="1">
      <c r="A11" s="382"/>
      <c r="B11" s="125"/>
      <c r="C11" s="380"/>
      <c r="D11" s="350"/>
      <c r="E11" s="650"/>
      <c r="F11" s="650"/>
      <c r="G11" s="650"/>
      <c r="H11" s="350"/>
      <c r="I11" s="350"/>
      <c r="J11" s="650"/>
      <c r="K11" s="451"/>
      <c r="L11" s="381"/>
      <c r="M11" s="381"/>
      <c r="N11" s="422"/>
      <c r="O11" s="421"/>
      <c r="P11" s="312"/>
      <c r="Q11" s="606"/>
      <c r="R11" s="1131"/>
      <c r="S11" s="311"/>
      <c r="T11" s="246"/>
      <c r="U11" s="246"/>
      <c r="V11" s="246"/>
      <c r="W11" s="246"/>
      <c r="X11" s="246"/>
      <c r="Y11" s="246"/>
      <c r="Z11" s="246"/>
      <c r="AA11" s="246"/>
      <c r="AB11" s="246"/>
      <c r="AC11" s="246"/>
      <c r="AD11" s="246"/>
      <c r="AE11" s="246"/>
      <c r="AF11" s="246"/>
      <c r="AG11" s="246"/>
      <c r="AH11" s="246"/>
      <c r="AI11" s="246"/>
      <c r="AJ11" s="246"/>
      <c r="AK11" s="246"/>
      <c r="AL11" s="246"/>
      <c r="AM11" s="246"/>
      <c r="AN11" s="246"/>
      <c r="AO11" s="246"/>
      <c r="AP11" s="246"/>
      <c r="AQ11" s="246"/>
      <c r="AR11" s="246"/>
      <c r="AS11" s="246"/>
      <c r="AT11" s="246"/>
      <c r="AU11" s="246"/>
      <c r="AV11" s="246"/>
      <c r="AW11" s="246"/>
      <c r="AX11" s="246"/>
      <c r="AY11" s="246"/>
      <c r="AZ11" s="246"/>
      <c r="BA11" s="246"/>
      <c r="BB11" s="246"/>
      <c r="BC11" s="246"/>
      <c r="BD11" s="246"/>
      <c r="BE11" s="246"/>
      <c r="BF11" s="246"/>
      <c r="BG11" s="246"/>
      <c r="BH11" s="246"/>
      <c r="BI11" s="246"/>
      <c r="BJ11" s="246"/>
      <c r="BK11" s="246"/>
      <c r="BL11" s="246"/>
      <c r="BM11" s="246"/>
      <c r="BN11" s="246"/>
      <c r="BO11" s="246"/>
      <c r="BP11" s="246"/>
      <c r="BQ11" s="246"/>
      <c r="BR11" s="246"/>
      <c r="BS11" s="246"/>
      <c r="BT11" s="246"/>
      <c r="BU11" s="246"/>
      <c r="BV11" s="246"/>
      <c r="BW11" s="246"/>
      <c r="BX11" s="246"/>
      <c r="BY11" s="246"/>
      <c r="BZ11" s="246"/>
      <c r="CA11" s="246"/>
      <c r="CB11" s="246"/>
      <c r="CC11" s="246"/>
      <c r="CD11" s="246"/>
      <c r="CE11" s="246"/>
      <c r="CF11" s="246"/>
      <c r="CG11" s="246"/>
      <c r="CH11" s="246"/>
      <c r="CI11" s="246"/>
      <c r="CJ11" s="246"/>
      <c r="CK11" s="246"/>
      <c r="CL11" s="246"/>
      <c r="CM11" s="246"/>
      <c r="CN11" s="246"/>
      <c r="CO11" s="246"/>
      <c r="CP11" s="246"/>
      <c r="CQ11" s="246"/>
      <c r="CR11" s="246"/>
      <c r="CS11" s="246"/>
      <c r="CT11" s="246"/>
      <c r="CU11" s="246"/>
      <c r="CV11" s="246"/>
      <c r="CW11" s="246"/>
      <c r="CX11" s="246"/>
      <c r="CY11" s="246"/>
      <c r="CZ11" s="246"/>
      <c r="DA11" s="246"/>
      <c r="DB11" s="246"/>
      <c r="DC11" s="246"/>
      <c r="DD11" s="246"/>
      <c r="DE11" s="246"/>
      <c r="DF11" s="246"/>
      <c r="DG11" s="246"/>
      <c r="DH11" s="246"/>
      <c r="DI11" s="246"/>
      <c r="DJ11" s="246"/>
      <c r="DK11" s="246"/>
      <c r="DL11" s="246"/>
      <c r="DM11" s="246"/>
      <c r="DN11" s="246"/>
      <c r="DO11" s="246"/>
      <c r="DP11" s="246"/>
    </row>
    <row r="12" spans="1:120" s="246" customFormat="1" ht="15" customHeight="1">
      <c r="A12" s="91">
        <v>2</v>
      </c>
      <c r="B12" s="1152" t="str">
        <f>Periode!$B$12</f>
        <v>Andre Sintenie</v>
      </c>
      <c r="C12" s="374" t="str">
        <f>Periode!$H$12</f>
        <v>SAVG</v>
      </c>
      <c r="D12" s="258">
        <f>'WK22'!$D$12+'WK21'!$D$12+'WK23'!$D$12+'WK24'!$D$12</f>
        <v>13</v>
      </c>
      <c r="E12" s="426">
        <f>'WK22'!$E$12+'WK21'!$E$12+'WK23'!$E$12+'WK24'!$E$12</f>
        <v>104</v>
      </c>
      <c r="F12" s="426">
        <f>'WK22'!$F$12+'WK21'!$F$12+'WK23'!$F$12+'WK24'!$F$12</f>
        <v>0</v>
      </c>
      <c r="G12" s="426">
        <f>'WK22'!$G$12+'WK21'!$G$12+'WK23'!$G$12+'WK24'!$G$12</f>
        <v>7.6</v>
      </c>
      <c r="H12" s="258">
        <f>'WK22'!$H$12+'WK21'!$H$12+'WK23'!$H$12+'WK24'!$H$12</f>
        <v>0</v>
      </c>
      <c r="I12" s="258">
        <f>'WK22'!$I$12+'WK21'!$I$12+'WK23'!$I$12+'WK24'!$I$12</f>
        <v>0</v>
      </c>
      <c r="J12" s="426">
        <f>'WK22'!$J$12+'WK21'!$J$12+'WK23'!$J$12+'WK24'!$J$12</f>
        <v>8</v>
      </c>
      <c r="K12" s="453">
        <f>'WK22'!$N$12+'WK21'!$N$12+'WK23'!$N$12+'WK24'!$N$12</f>
        <v>0</v>
      </c>
      <c r="L12" s="6">
        <f>'WK22'!$P$12+'WK21'!$P$12+'WK23'!$P$12+'WK24'!$P$12</f>
        <v>0</v>
      </c>
      <c r="M12" s="6">
        <f>'WK22'!$Q$12+'WK21'!$Q$12+'WK23'!$Q$12</f>
        <v>1429.1564760000001</v>
      </c>
      <c r="N12" s="206">
        <f>'WK24'!$Q$12</f>
        <v>524.12800000000004</v>
      </c>
      <c r="O12" s="30">
        <f>$N$12+$M$12</f>
        <v>1953.2844760000003</v>
      </c>
      <c r="P12" s="340"/>
      <c r="Q12" s="545">
        <f>(154.74+16)+(182.65+25.6)+(178.98+25.6)+(176.18+17.6)+(173.59+14.4)+(165.83+20.8)</f>
        <v>1151.97</v>
      </c>
      <c r="R12" s="1130"/>
      <c r="S12" s="311"/>
    </row>
    <row r="13" spans="1:120" s="91" customFormat="1" ht="15" customHeight="1">
      <c r="B13" s="5"/>
      <c r="C13" s="172"/>
      <c r="D13" s="527"/>
      <c r="E13" s="651"/>
      <c r="F13" s="651"/>
      <c r="G13" s="651"/>
      <c r="H13" s="527"/>
      <c r="I13" s="527"/>
      <c r="J13" s="651"/>
      <c r="K13" s="528"/>
      <c r="L13" s="529"/>
      <c r="M13" s="529"/>
      <c r="N13" s="597"/>
      <c r="O13" s="507"/>
      <c r="P13" s="276"/>
      <c r="Q13" s="598"/>
      <c r="R13" s="1130"/>
      <c r="S13" s="843"/>
    </row>
    <row r="14" spans="1:120" s="91" customFormat="1" ht="15" customHeight="1">
      <c r="A14" s="810"/>
      <c r="B14" s="468"/>
      <c r="C14" s="468"/>
      <c r="D14" s="662"/>
      <c r="E14" s="665"/>
      <c r="F14" s="665"/>
      <c r="G14" s="665"/>
      <c r="H14" s="662"/>
      <c r="I14" s="662"/>
      <c r="J14" s="665"/>
      <c r="K14" s="666"/>
      <c r="L14" s="353"/>
      <c r="M14" s="353"/>
      <c r="N14" s="353"/>
      <c r="O14" s="421">
        <f>'WK24'!Q14</f>
        <v>121.76</v>
      </c>
      <c r="P14" s="667" t="s">
        <v>163</v>
      </c>
      <c r="Q14" s="680"/>
      <c r="R14" s="1131"/>
      <c r="S14" s="842"/>
    </row>
    <row r="15" spans="1:120" s="91" customFormat="1" ht="15" customHeight="1">
      <c r="A15" s="679">
        <v>3</v>
      </c>
      <c r="B15" s="1152" t="str">
        <f>Periode!B15</f>
        <v xml:space="preserve">Dennis Aarts </v>
      </c>
      <c r="C15" s="374" t="str">
        <f>Periode!H15</f>
        <v>UTA</v>
      </c>
      <c r="D15" s="663">
        <f>'WK22'!D15+'WK21'!D15+'WK23'!D15+'WK24'!D15</f>
        <v>4</v>
      </c>
      <c r="E15" s="664">
        <f>'WK22'!E15+'WK21'!E15+'WK23'!E15+'WK24'!E15</f>
        <v>32</v>
      </c>
      <c r="F15" s="664">
        <f>'WK22'!F15+'WK21'!F15+'WK23'!F15+'WK24'!F15</f>
        <v>0</v>
      </c>
      <c r="G15" s="664">
        <f>'WK22'!G15+'WK21'!G15+'WK23'!G15+'WK24'!G15</f>
        <v>0</v>
      </c>
      <c r="H15" s="663">
        <f>'WK22'!H15+'WK21'!H15+'WK23'!H15+'WK24'!H15</f>
        <v>0</v>
      </c>
      <c r="I15" s="663">
        <f>'WK22'!I15+'WK21'!I15+'WK23'!I15+'WK24'!I15</f>
        <v>32</v>
      </c>
      <c r="J15" s="664">
        <f>'WK22'!J15+'WK21'!J15+'WK23'!J15+'WK24'!J15</f>
        <v>8</v>
      </c>
      <c r="K15" s="453">
        <f>'WK22'!N15+'WK21'!N15+'WK23'!N15+'WK24'!N15</f>
        <v>0</v>
      </c>
      <c r="L15" s="206">
        <f>'WK22'!P15+'WK21'!P15+'WK23'!P15+'WK24'!P15</f>
        <v>0</v>
      </c>
      <c r="M15" s="206">
        <f>'WK22'!Q15+'WK21'!Q15+'WK23'!Q15</f>
        <v>685.43640000000005</v>
      </c>
      <c r="N15" s="206">
        <f>'WK24'!Q15</f>
        <v>1248.3644000000002</v>
      </c>
      <c r="O15" s="970">
        <f>N15</f>
        <v>1248.3644000000002</v>
      </c>
      <c r="P15" s="341">
        <f>O15+O14</f>
        <v>1370.1244000000002</v>
      </c>
      <c r="Q15" s="423">
        <f>(13.2)+(16.5)+(15.4)+(14.3)+(12.1)+(4.4)</f>
        <v>75.900000000000006</v>
      </c>
      <c r="R15" s="1130">
        <f>-87.32-38.29+22.49+103.12</f>
        <v>0</v>
      </c>
      <c r="S15" s="842"/>
    </row>
    <row r="16" spans="1:120" s="246" customFormat="1" ht="15" customHeight="1">
      <c r="A16" s="812"/>
      <c r="B16" s="135"/>
      <c r="C16" s="248"/>
      <c r="D16" s="249"/>
      <c r="E16" s="652"/>
      <c r="F16" s="652"/>
      <c r="G16" s="652"/>
      <c r="H16" s="249"/>
      <c r="I16" s="249"/>
      <c r="J16" s="652"/>
      <c r="K16" s="454"/>
      <c r="L16" s="250"/>
      <c r="M16" s="250"/>
      <c r="N16" s="162"/>
      <c r="O16" s="508"/>
      <c r="P16" s="506"/>
      <c r="Q16" s="547"/>
      <c r="R16" s="1132"/>
      <c r="S16" s="311"/>
    </row>
    <row r="17" spans="1:120" s="91" customFormat="1" ht="15" customHeight="1">
      <c r="A17" s="679">
        <v>4</v>
      </c>
      <c r="B17" s="1152" t="str">
        <f>Periode!B17</f>
        <v>Kay Sanders</v>
      </c>
      <c r="C17" s="374" t="str">
        <f>Periode!H17</f>
        <v>Bouw</v>
      </c>
      <c r="D17" s="663">
        <f>'WK22'!D17+'WK21'!D17+'WK23'!D17+'WK24'!D17</f>
        <v>0</v>
      </c>
      <c r="E17" s="664">
        <f>'WK22'!E17+'WK21'!E17+'WK23'!E17+'WK24'!E17</f>
        <v>0</v>
      </c>
      <c r="F17" s="664">
        <f>'WK22'!F17+'WK21'!F17+'WK23'!F17+'WK24'!F17</f>
        <v>0</v>
      </c>
      <c r="G17" s="664">
        <f>'WK22'!G17+'WK21'!G17+'WK23'!G17+'WK24'!G17</f>
        <v>0</v>
      </c>
      <c r="H17" s="663">
        <f>'WK22'!H17+'WK21'!H17+'WK23'!H17+'WK24'!H17</f>
        <v>0</v>
      </c>
      <c r="I17" s="663">
        <f>'WK22'!I17+'WK21'!I17+'WK23'!I17+'WK24'!I17</f>
        <v>0</v>
      </c>
      <c r="J17" s="664">
        <f>'WK22'!J17+'WK21'!J17+'WK23'!J17+'WK24'!J17</f>
        <v>0</v>
      </c>
      <c r="K17" s="453">
        <f>'WK22'!N17+'WK21'!N17+'WK23'!N17+'WK24'!N17</f>
        <v>0</v>
      </c>
      <c r="L17" s="206">
        <f>'WK22'!P17+'WK21'!P17+'WK23'!P17+'WK24'!P17</f>
        <v>296.04000000000002</v>
      </c>
      <c r="M17" s="206">
        <f>'WK22'!Q17+'WK21'!Q17+'WK23'!Q17</f>
        <v>0</v>
      </c>
      <c r="N17" s="206">
        <f>'WK24'!Q17</f>
        <v>296.04000000000002</v>
      </c>
      <c r="O17" s="173">
        <f>M17+N17</f>
        <v>296.04000000000002</v>
      </c>
      <c r="P17" s="341"/>
      <c r="Q17" s="423"/>
      <c r="R17" s="1129"/>
      <c r="S17" s="829"/>
    </row>
    <row r="18" spans="1:120" s="246" customFormat="1" ht="15" customHeight="1">
      <c r="A18" s="363"/>
      <c r="B18" s="5"/>
      <c r="C18" s="242"/>
      <c r="D18" s="252"/>
      <c r="E18" s="461"/>
      <c r="F18" s="461"/>
      <c r="G18" s="461"/>
      <c r="H18" s="252"/>
      <c r="I18" s="252"/>
      <c r="J18" s="461"/>
      <c r="K18" s="605"/>
      <c r="L18" s="254"/>
      <c r="M18" s="148"/>
      <c r="N18" s="146"/>
      <c r="O18" s="148"/>
      <c r="P18" s="182"/>
      <c r="Q18" s="555"/>
      <c r="R18" s="1130"/>
      <c r="S18" s="314"/>
    </row>
    <row r="19" spans="1:120" s="262" customFormat="1" ht="15" customHeight="1">
      <c r="A19" s="91"/>
      <c r="B19" s="1153"/>
      <c r="C19" s="532"/>
      <c r="D19" s="533"/>
      <c r="E19" s="653"/>
      <c r="F19" s="653"/>
      <c r="G19" s="653"/>
      <c r="H19" s="533"/>
      <c r="I19" s="533"/>
      <c r="J19" s="653"/>
      <c r="K19" s="534"/>
      <c r="L19" s="443"/>
      <c r="M19" s="443"/>
      <c r="N19" s="201"/>
      <c r="O19" s="436"/>
      <c r="P19" s="535"/>
      <c r="Q19" s="548"/>
      <c r="R19" s="1132"/>
      <c r="S19" s="844"/>
    </row>
    <row r="20" spans="1:120" s="87" customFormat="1" ht="15" customHeight="1">
      <c r="A20" s="1191"/>
      <c r="B20" s="88" t="str">
        <f>Periode!B20</f>
        <v>Eric Snepvangers</v>
      </c>
      <c r="C20" s="88" t="str">
        <f>Periode!H20</f>
        <v>Bouw</v>
      </c>
      <c r="D20" s="232">
        <f>'WK22'!$D$20+'WK21'!$D$20+'WK23'!$D$20+'WK24'!$D$20</f>
        <v>0</v>
      </c>
      <c r="E20" s="657">
        <f>'WK22'!$E$20+'WK21'!$E$20+'WK23'!$E$20+'WK24'!$E$20</f>
        <v>0</v>
      </c>
      <c r="F20" s="657">
        <f>'WK22'!$F$20+'WK21'!$F$20+'WK23'!$F$20+'WK24'!$F$20</f>
        <v>0</v>
      </c>
      <c r="G20" s="657">
        <f>'WK22'!$G$20+'WK21'!$G$20+'WK23'!$G$20+'WK24'!$G$20</f>
        <v>0</v>
      </c>
      <c r="H20" s="232">
        <f>'WK22'!$H$20+'WK21'!$H$20+'WK23'!$H$20+'WK24'!$H$20</f>
        <v>0</v>
      </c>
      <c r="I20" s="232">
        <f>'WK22'!$I$20+'WK21'!$I$20+'WK23'!$I$20+'WK24'!$I$20</f>
        <v>0</v>
      </c>
      <c r="J20" s="657">
        <f>'WK22'!$J$20+'WK21'!$J$20+'WK23'!$J$20+'WK24'!$J$20</f>
        <v>0</v>
      </c>
      <c r="K20" s="803">
        <f>'WK22'!$N$20+'WK21'!$N$20+'WK23'!$N$20+'WK24'!$N$20</f>
        <v>0</v>
      </c>
      <c r="L20" s="107">
        <f>'WK22'!$P$20+'WK21'!$P$20+'WK23'!$P$20+'WK24'!$P$20</f>
        <v>0</v>
      </c>
      <c r="M20" s="107">
        <f>'WK22'!$Q$20+'WK21'!$Q$20+'WK23'!$Q$20</f>
        <v>0</v>
      </c>
      <c r="N20" s="804">
        <f>'WK24'!$Q$20</f>
        <v>0</v>
      </c>
      <c r="O20" s="185">
        <f>M20+N20</f>
        <v>0</v>
      </c>
      <c r="P20" s="187" t="s">
        <v>376</v>
      </c>
      <c r="Q20" s="553">
        <f>(146.84+5.5)+(150.91+17.6)+(158.05+17.6)+(6.34+2.2)</f>
        <v>505.04</v>
      </c>
      <c r="R20" s="1139"/>
      <c r="S20" s="840"/>
    </row>
    <row r="21" spans="1:120" s="262" customFormat="1" ht="15" customHeight="1">
      <c r="A21" s="91"/>
      <c r="B21" s="5"/>
      <c r="C21" s="172">
        <f>Periode!$H$21</f>
        <v>0</v>
      </c>
      <c r="D21" s="527">
        <f>'WK22'!$D$21+'WK21'!$D$21+'WK23'!$D$21+'WK24'!$D$21</f>
        <v>0</v>
      </c>
      <c r="E21" s="651">
        <f>'WK22'!$E$21+'WK21'!$E$21+'WK23'!$E$21+'WK24'!$E$21</f>
        <v>0</v>
      </c>
      <c r="F21" s="651">
        <f>'WK22'!$F$21+'WK21'!$F$21+'WK23'!$F$21+'WK24'!$F$21</f>
        <v>0</v>
      </c>
      <c r="G21" s="651">
        <f>'WK22'!$G$21+'WK21'!$G$21+'WK23'!$G$21+'WK24'!$G$21</f>
        <v>0</v>
      </c>
      <c r="H21" s="527">
        <f>'WK22'!$H$21+'WK21'!$H$21+'WK23'!$H$21+'WK24'!$H$21</f>
        <v>0</v>
      </c>
      <c r="I21" s="527">
        <f>'WK22'!$I$21+'WK21'!$I$21+'WK23'!$I$21+'WK24'!$I$21</f>
        <v>0</v>
      </c>
      <c r="J21" s="651">
        <f>'WK22'!$J$21+'WK21'!$J$21+'WK23'!$J$21+'WK24'!$J$21</f>
        <v>0</v>
      </c>
      <c r="K21" s="528">
        <f>'WK22'!$N$21+'WK21'!$N$21+'WK23'!$N$21+'WK24'!$N$21</f>
        <v>0</v>
      </c>
      <c r="L21" s="529"/>
      <c r="M21" s="529">
        <f>'WK22'!$Q$21+'WK21'!$Q$21+'WK23'!$Q$21</f>
        <v>0</v>
      </c>
      <c r="N21" s="189">
        <f>'WK24'!$Q$21</f>
        <v>0</v>
      </c>
      <c r="O21" s="436">
        <f>$M$21+$N$21</f>
        <v>0</v>
      </c>
      <c r="P21" s="530"/>
      <c r="Q21" s="549"/>
      <c r="R21" s="1130"/>
      <c r="S21" s="844"/>
    </row>
    <row r="22" spans="1:120" s="262" customFormat="1" ht="15" customHeight="1">
      <c r="A22" s="91"/>
      <c r="B22" s="135"/>
      <c r="C22" s="172">
        <f>Periode!H22</f>
        <v>0</v>
      </c>
      <c r="D22" s="527">
        <f>'WK22'!D22+'WK21'!D22+'WK23'!D22+'WK24'!D22</f>
        <v>0</v>
      </c>
      <c r="E22" s="651">
        <f>'WK22'!E22+'WK21'!E22+'WK23'!E22+'WK24'!E22</f>
        <v>0</v>
      </c>
      <c r="F22" s="651">
        <f>'WK22'!F22+'WK21'!F22+'WK23'!F22+'WK24'!F22</f>
        <v>0</v>
      </c>
      <c r="G22" s="651">
        <f>'WK22'!G22+'WK21'!G22+'WK23'!G22+'WK24'!G22</f>
        <v>0</v>
      </c>
      <c r="H22" s="527">
        <f>'WK22'!H22+'WK21'!H22+'WK23'!H22+'WK24'!H22</f>
        <v>0</v>
      </c>
      <c r="I22" s="527">
        <f>'WK22'!I22+'WK21'!I22+'WK23'!I22+'WK24'!I22</f>
        <v>0</v>
      </c>
      <c r="J22" s="651">
        <f>'WK22'!J22+'WK21'!J22+'WK23'!J22+'WK24'!J22</f>
        <v>0</v>
      </c>
      <c r="K22" s="528">
        <f>'WK22'!O22+'WK21'!O22+'WK23'!O22+'WK24'!O22</f>
        <v>0</v>
      </c>
      <c r="L22" s="529"/>
      <c r="M22" s="529">
        <f>'WK22'!Q22+'WK21'!Q22+'WK23'!Q22</f>
        <v>0</v>
      </c>
      <c r="N22" s="531">
        <f>'WK24'!Q22</f>
        <v>0</v>
      </c>
      <c r="O22" s="436">
        <f t="shared" ref="O22" si="1">M22+N22</f>
        <v>0</v>
      </c>
      <c r="P22" s="530"/>
      <c r="Q22" s="549"/>
      <c r="R22" s="1130"/>
      <c r="S22" s="844"/>
    </row>
    <row r="23" spans="1:120" s="382" customFormat="1" ht="15" customHeight="1">
      <c r="A23" s="382">
        <v>5</v>
      </c>
      <c r="B23" s="964" t="str">
        <f>Periode!$B$23</f>
        <v>Frank Stouthart</v>
      </c>
      <c r="C23" s="125" t="str">
        <f>Periode!$H$23</f>
        <v>Bouw</v>
      </c>
      <c r="D23" s="233">
        <f>'WK22'!$D$23+'WK21'!$D$23+'WK23'!$D$23+'WK24'!$D$23</f>
        <v>18</v>
      </c>
      <c r="E23" s="654">
        <f>'WK22'!$E$23+'WK21'!$E$23+'WK23'!$E$23+'WK24'!$E$23</f>
        <v>141</v>
      </c>
      <c r="F23" s="654">
        <f>'WK22'!$F$23+'WK21'!$F$23+'WK23'!$F$23+'WK24'!$F$23</f>
        <v>8</v>
      </c>
      <c r="G23" s="654">
        <f>'WK22'!$G$23+'WK21'!$G$23+'WK23'!$G$23+'WK24'!$G$23</f>
        <v>0</v>
      </c>
      <c r="H23" s="233">
        <f>'WK22'!$H$23+'WK21'!$H$23+'WK23'!$H$23+'WK24'!$H$23</f>
        <v>0</v>
      </c>
      <c r="I23" s="233">
        <f>'WK22'!$I$23+'WK21'!$I$23+'WK23'!$I$23+'WK24'!$I$23</f>
        <v>0</v>
      </c>
      <c r="J23" s="654">
        <f>'WK22'!$J$23+'WK21'!$J$23+'WK23'!$J$23+'WK24'!$J$23</f>
        <v>8</v>
      </c>
      <c r="K23" s="455">
        <f>'WK22'!$N$23+'WK21'!$N$23+'WK23'!$N$23+'WK24'!$N$23</f>
        <v>1238</v>
      </c>
      <c r="L23" s="255">
        <f>'WK22'!$P$23+'WK21'!$P$23+'WK23'!$P$23+'WK24'!$P$23</f>
        <v>0</v>
      </c>
      <c r="M23" s="255">
        <f>'WK22'!$Q$23+'WK21'!$Q$23+'WK23'!$Q$23</f>
        <v>2323.5252800000007</v>
      </c>
      <c r="N23" s="353">
        <f>'WK24'!$Q$23</f>
        <v>786.06300000000033</v>
      </c>
      <c r="O23" s="184">
        <f>$M$23+$N$23</f>
        <v>3109.5882800000009</v>
      </c>
      <c r="P23" s="1087" t="s">
        <v>376</v>
      </c>
      <c r="Q23" s="544">
        <f>(33.4+14.3)+(8.18+14.3)+(88.76+20.9)+(81.86+18.7)+(135.16+17.6)+(100.57+19.8)</f>
        <v>553.53</v>
      </c>
      <c r="R23" s="1131"/>
      <c r="S23" s="843"/>
      <c r="T23" s="91"/>
      <c r="U23" s="91"/>
      <c r="V23" s="91"/>
      <c r="W23" s="91"/>
      <c r="X23" s="91"/>
      <c r="Y23" s="91"/>
      <c r="Z23" s="91"/>
      <c r="AA23" s="91"/>
      <c r="AB23" s="91"/>
      <c r="AC23" s="91"/>
      <c r="AD23" s="91"/>
      <c r="AE23" s="91"/>
      <c r="AF23" s="91"/>
      <c r="AG23" s="91"/>
      <c r="AH23" s="91"/>
      <c r="AI23" s="91"/>
      <c r="AJ23" s="91"/>
      <c r="AK23" s="91"/>
      <c r="AL23" s="91"/>
      <c r="AM23" s="91"/>
      <c r="AN23" s="91"/>
      <c r="AO23" s="91"/>
      <c r="AP23" s="91"/>
      <c r="AQ23" s="91"/>
      <c r="AR23" s="91"/>
      <c r="AS23" s="91"/>
      <c r="AT23" s="91"/>
      <c r="AU23" s="91"/>
      <c r="AV23" s="91"/>
      <c r="AW23" s="91"/>
      <c r="AX23" s="91"/>
      <c r="AY23" s="91"/>
      <c r="AZ23" s="91"/>
      <c r="BA23" s="91"/>
      <c r="BB23" s="91"/>
      <c r="BC23" s="91"/>
      <c r="BD23" s="91"/>
      <c r="BE23" s="91"/>
      <c r="BF23" s="91"/>
      <c r="BG23" s="91"/>
      <c r="BH23" s="91"/>
      <c r="BI23" s="91"/>
      <c r="BJ23" s="91"/>
      <c r="BK23" s="91"/>
      <c r="BL23" s="91"/>
      <c r="BM23" s="91"/>
      <c r="BN23" s="91"/>
      <c r="BO23" s="91"/>
      <c r="BP23" s="91"/>
      <c r="BQ23" s="91"/>
      <c r="BR23" s="91"/>
      <c r="BS23" s="91"/>
      <c r="BT23" s="91"/>
      <c r="BU23" s="91"/>
      <c r="BV23" s="91"/>
      <c r="BW23" s="91"/>
      <c r="BX23" s="91"/>
      <c r="BY23" s="91"/>
      <c r="BZ23" s="91"/>
      <c r="CA23" s="91"/>
      <c r="CB23" s="91"/>
      <c r="CC23" s="91"/>
      <c r="CD23" s="91"/>
      <c r="CE23" s="91"/>
      <c r="CF23" s="91"/>
      <c r="CG23" s="91"/>
      <c r="CH23" s="91"/>
      <c r="CI23" s="91"/>
      <c r="CJ23" s="91"/>
      <c r="CK23" s="91"/>
      <c r="CL23" s="91"/>
      <c r="CM23" s="91"/>
      <c r="CN23" s="91"/>
      <c r="CO23" s="91"/>
      <c r="CP23" s="91"/>
      <c r="CQ23" s="91"/>
      <c r="CR23" s="91"/>
      <c r="CS23" s="91"/>
      <c r="CT23" s="91"/>
      <c r="CU23" s="91"/>
      <c r="CV23" s="91"/>
      <c r="CW23" s="91"/>
      <c r="CX23" s="91"/>
      <c r="CY23" s="91"/>
      <c r="CZ23" s="91"/>
      <c r="DA23" s="91"/>
      <c r="DB23" s="91"/>
      <c r="DC23" s="91"/>
      <c r="DD23" s="91"/>
      <c r="DE23" s="91"/>
      <c r="DF23" s="91"/>
      <c r="DG23" s="91"/>
      <c r="DH23" s="91"/>
      <c r="DI23" s="91"/>
      <c r="DJ23" s="91"/>
      <c r="DK23" s="91"/>
      <c r="DL23" s="91"/>
      <c r="DM23" s="91"/>
      <c r="DN23" s="91"/>
      <c r="DO23" s="91"/>
      <c r="DP23" s="91"/>
    </row>
    <row r="24" spans="1:120" s="91" customFormat="1" ht="15" customHeight="1">
      <c r="B24" s="5"/>
      <c r="C24" s="5"/>
      <c r="D24" s="258"/>
      <c r="E24" s="426"/>
      <c r="F24" s="426"/>
      <c r="G24" s="426"/>
      <c r="H24" s="258"/>
      <c r="I24" s="258"/>
      <c r="J24" s="426"/>
      <c r="K24" s="453"/>
      <c r="L24" s="206"/>
      <c r="M24" s="6"/>
      <c r="N24" s="206"/>
      <c r="O24" s="173"/>
      <c r="P24" s="182"/>
      <c r="Q24" s="545"/>
      <c r="R24" s="1130"/>
      <c r="S24" s="843"/>
    </row>
    <row r="25" spans="1:120" s="383" customFormat="1" ht="15" customHeight="1">
      <c r="B25" s="135"/>
      <c r="C25" s="135"/>
      <c r="D25" s="384"/>
      <c r="E25" s="655"/>
      <c r="F25" s="655"/>
      <c r="G25" s="655"/>
      <c r="H25" s="384"/>
      <c r="I25" s="384"/>
      <c r="J25" s="655"/>
      <c r="K25" s="456"/>
      <c r="L25" s="313"/>
      <c r="M25" s="57"/>
      <c r="N25" s="313"/>
      <c r="O25" s="385"/>
      <c r="P25" s="360"/>
      <c r="Q25" s="550"/>
      <c r="R25" s="1132"/>
      <c r="S25" s="843"/>
      <c r="T25" s="91"/>
      <c r="U25" s="91"/>
      <c r="V25" s="91"/>
      <c r="W25" s="91"/>
      <c r="X25" s="91"/>
      <c r="Y25" s="91"/>
      <c r="Z25" s="91"/>
      <c r="AA25" s="91"/>
      <c r="AB25" s="91"/>
      <c r="AC25" s="91"/>
      <c r="AD25" s="91"/>
      <c r="AE25" s="91"/>
      <c r="AF25" s="91"/>
      <c r="AG25" s="91"/>
      <c r="AH25" s="91"/>
      <c r="AI25" s="91"/>
      <c r="AJ25" s="91"/>
      <c r="AK25" s="91"/>
      <c r="AL25" s="91"/>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c r="BM25" s="91"/>
      <c r="BN25" s="91"/>
      <c r="BO25" s="91"/>
      <c r="BP25" s="91"/>
      <c r="BQ25" s="91"/>
      <c r="BR25" s="91"/>
      <c r="BS25" s="91"/>
      <c r="BT25" s="91"/>
      <c r="BU25" s="91"/>
      <c r="BV25" s="91"/>
      <c r="BW25" s="91"/>
      <c r="BX25" s="91"/>
      <c r="BY25" s="91"/>
      <c r="BZ25" s="91"/>
      <c r="CA25" s="91"/>
      <c r="CB25" s="91"/>
      <c r="CC25" s="91"/>
      <c r="CD25" s="91"/>
      <c r="CE25" s="91"/>
      <c r="CF25" s="91"/>
      <c r="CG25" s="91"/>
      <c r="CH25" s="91"/>
      <c r="CI25" s="91"/>
      <c r="CJ25" s="91"/>
      <c r="CK25" s="91"/>
      <c r="CL25" s="91"/>
      <c r="CM25" s="91"/>
      <c r="CN25" s="91"/>
      <c r="CO25" s="91"/>
      <c r="CP25" s="91"/>
      <c r="CQ25" s="91"/>
      <c r="CR25" s="91"/>
      <c r="CS25" s="91"/>
      <c r="CT25" s="91"/>
      <c r="CU25" s="91"/>
      <c r="CV25" s="91"/>
      <c r="CW25" s="91"/>
      <c r="CX25" s="91"/>
      <c r="CY25" s="91"/>
      <c r="CZ25" s="91"/>
      <c r="DA25" s="91"/>
      <c r="DB25" s="91"/>
      <c r="DC25" s="91"/>
      <c r="DD25" s="91"/>
      <c r="DE25" s="91"/>
      <c r="DF25" s="91"/>
      <c r="DG25" s="91"/>
      <c r="DH25" s="91"/>
      <c r="DI25" s="91"/>
      <c r="DJ25" s="91"/>
      <c r="DK25" s="91"/>
      <c r="DL25" s="91"/>
      <c r="DM25" s="91"/>
      <c r="DN25" s="91"/>
      <c r="DO25" s="91"/>
      <c r="DP25" s="91"/>
    </row>
    <row r="26" spans="1:120" s="91" customFormat="1" ht="15" customHeight="1">
      <c r="A26" s="679">
        <v>6</v>
      </c>
      <c r="B26" s="1152" t="str">
        <f>Periode!B26</f>
        <v>Roy Rubeling</v>
      </c>
      <c r="C26" s="374" t="str">
        <f>Periode!H26</f>
        <v>Bouw</v>
      </c>
      <c r="D26" s="663">
        <f>'WK22'!D26+'WK21'!D26+'WK23'!D26+'WK24'!D26</f>
        <v>14</v>
      </c>
      <c r="E26" s="664">
        <f>'WK22'!E26+'WK21'!E26+'WK23'!E26+'WK24'!E26</f>
        <v>112</v>
      </c>
      <c r="F26" s="664">
        <f>'WK22'!F26+'WK21'!F26+'WK23'!F26+'WK24'!F26</f>
        <v>0</v>
      </c>
      <c r="G26" s="664">
        <f>'WK22'!G26+'WK21'!G26+'WK23'!G26+'WK24'!G26</f>
        <v>0</v>
      </c>
      <c r="H26" s="663">
        <f>'WK22'!H26+'WK21'!H26+'WK23'!H26+'WK24'!H26</f>
        <v>0</v>
      </c>
      <c r="I26" s="663">
        <f>'WK22'!I26+'WK21'!I26+'WK23'!I26+'WK24'!I26</f>
        <v>0</v>
      </c>
      <c r="J26" s="664">
        <f>'WK22'!J26+'WK21'!J26+'WK23'!J26+'WK24'!J26</f>
        <v>8</v>
      </c>
      <c r="K26" s="453">
        <f>'WK22'!N26+'WK21'!N26+'WK23'!N26+'WK24'!N26</f>
        <v>1988</v>
      </c>
      <c r="L26" s="206">
        <f>'WK22'!P26+'WK21'!P26+'WK23'!P26+'WK24'!P26</f>
        <v>283.62</v>
      </c>
      <c r="M26" s="206">
        <f>'WK22'!Q26+'WK21'!Q26+'WK23'!Q26</f>
        <v>2043.8625999999999</v>
      </c>
      <c r="N26" s="206">
        <f>'WK24'!Q26</f>
        <v>1042.6599999999999</v>
      </c>
      <c r="O26" s="173">
        <f>M26+N26</f>
        <v>3086.5225999999998</v>
      </c>
      <c r="P26" s="276"/>
      <c r="Q26" s="680">
        <f>(0.02+13.2)+(0.32+22)+(0)+(176.85+16.5)+(222.26+15.4)+(137.93+15.4)</f>
        <v>619.88</v>
      </c>
      <c r="R26" s="1136"/>
      <c r="S26" s="842"/>
    </row>
    <row r="27" spans="1:120" s="246" customFormat="1" ht="15" customHeight="1">
      <c r="A27" s="91"/>
      <c r="B27" s="5"/>
      <c r="C27" s="242"/>
      <c r="D27" s="252"/>
      <c r="E27" s="461"/>
      <c r="F27" s="461"/>
      <c r="G27" s="461"/>
      <c r="H27" s="252"/>
      <c r="I27" s="252"/>
      <c r="J27" s="461"/>
      <c r="K27" s="452"/>
      <c r="L27" s="254"/>
      <c r="M27" s="254"/>
      <c r="N27" s="837"/>
      <c r="O27" s="420"/>
      <c r="P27" s="341"/>
      <c r="Q27" s="551"/>
      <c r="R27" s="1133"/>
      <c r="S27" s="838"/>
    </row>
    <row r="28" spans="1:120" s="87" customFormat="1" ht="15" customHeight="1">
      <c r="A28" s="91"/>
      <c r="B28" s="135"/>
      <c r="C28" s="123"/>
      <c r="D28" s="359"/>
      <c r="E28" s="656"/>
      <c r="F28" s="656"/>
      <c r="G28" s="656"/>
      <c r="H28" s="359"/>
      <c r="I28" s="359"/>
      <c r="J28" s="656"/>
      <c r="K28" s="457"/>
      <c r="L28" s="124"/>
      <c r="M28" s="124"/>
      <c r="N28" s="247"/>
      <c r="O28" s="288"/>
      <c r="P28" s="360"/>
      <c r="Q28" s="554"/>
      <c r="R28" s="1132"/>
      <c r="S28" s="838"/>
    </row>
    <row r="29" spans="1:120" s="934" customFormat="1" ht="15" customHeight="1">
      <c r="A29" s="1154"/>
      <c r="B29" s="926"/>
      <c r="C29" s="926"/>
      <c r="D29" s="927"/>
      <c r="E29" s="928"/>
      <c r="F29" s="928"/>
      <c r="G29" s="928"/>
      <c r="H29" s="927"/>
      <c r="I29" s="927"/>
      <c r="J29" s="928"/>
      <c r="K29" s="929"/>
      <c r="L29" s="930"/>
      <c r="M29" s="930"/>
      <c r="N29" s="930"/>
      <c r="O29" s="931"/>
      <c r="P29" s="932"/>
      <c r="Q29" s="932"/>
      <c r="R29" s="1141"/>
      <c r="S29" s="933"/>
    </row>
    <row r="30" spans="1:120" s="91" customFormat="1" ht="15" customHeight="1">
      <c r="B30" s="5"/>
      <c r="C30" s="5"/>
      <c r="D30" s="258"/>
      <c r="E30" s="426"/>
      <c r="F30" s="426"/>
      <c r="G30" s="426"/>
      <c r="H30" s="258"/>
      <c r="I30" s="258"/>
      <c r="J30" s="426"/>
      <c r="K30" s="450"/>
      <c r="L30" s="6"/>
      <c r="M30" s="6"/>
      <c r="N30" s="30"/>
      <c r="O30" s="420"/>
      <c r="P30" s="341"/>
      <c r="Q30" s="616"/>
      <c r="R30" s="1130"/>
      <c r="S30" s="843"/>
    </row>
    <row r="31" spans="1:120" s="91" customFormat="1" ht="15" customHeight="1">
      <c r="B31" s="5"/>
      <c r="C31" s="5"/>
      <c r="D31" s="258"/>
      <c r="E31" s="426"/>
      <c r="F31" s="426"/>
      <c r="G31" s="426"/>
      <c r="H31" s="258"/>
      <c r="I31" s="258"/>
      <c r="J31" s="426"/>
      <c r="K31" s="450"/>
      <c r="L31" s="6"/>
      <c r="M31" s="6"/>
      <c r="N31" s="30"/>
      <c r="O31" s="173"/>
      <c r="P31" s="276"/>
      <c r="Q31" s="598"/>
      <c r="R31" s="1130"/>
      <c r="S31" s="843"/>
    </row>
    <row r="32" spans="1:120" s="91" customFormat="1" ht="15" customHeight="1">
      <c r="A32" s="382"/>
      <c r="B32" s="125"/>
      <c r="C32" s="125"/>
      <c r="D32" s="233"/>
      <c r="E32" s="654"/>
      <c r="F32" s="654"/>
      <c r="G32" s="654"/>
      <c r="H32" s="233"/>
      <c r="I32" s="233"/>
      <c r="J32" s="654"/>
      <c r="K32" s="666"/>
      <c r="L32" s="255"/>
      <c r="M32" s="255"/>
      <c r="N32" s="353"/>
      <c r="O32" s="184"/>
      <c r="P32" s="312"/>
      <c r="Q32" s="544"/>
      <c r="R32" s="1131"/>
      <c r="S32" s="843"/>
    </row>
    <row r="33" spans="1:120" s="91" customFormat="1" ht="15" customHeight="1">
      <c r="A33" s="679">
        <v>7</v>
      </c>
      <c r="B33" s="1152" t="str">
        <f>Periode!B33</f>
        <v>Marco Govers</v>
      </c>
      <c r="C33" s="374" t="str">
        <f>Periode!H33</f>
        <v>UTA</v>
      </c>
      <c r="D33" s="663">
        <f>'WK22'!D33+'WK21'!D33+'WK23'!D33+'WK24'!D33</f>
        <v>19</v>
      </c>
      <c r="E33" s="664">
        <f>'WK22'!E33+'WK21'!E33+'WK23'!E33+'WK24'!E33</f>
        <v>148.5</v>
      </c>
      <c r="F33" s="664">
        <f>'WK22'!F33+'WK21'!F33+'WK23'!F33+'WK24'!F33</f>
        <v>0</v>
      </c>
      <c r="G33" s="664">
        <f>'WK22'!G33+'WK21'!G33+'WK23'!G33+'WK24'!G33</f>
        <v>0</v>
      </c>
      <c r="H33" s="663">
        <f>'WK22'!H33+'WK21'!H33+'WK23'!H33+'WK24'!H33</f>
        <v>0</v>
      </c>
      <c r="I33" s="663">
        <f>'WK22'!I33+'WK21'!I33+'WK23'!I33+'WK24'!I33</f>
        <v>3.5</v>
      </c>
      <c r="J33" s="664">
        <f>'WK22'!J33+'WK21'!J33+'WK23'!J33+'WK24'!J33</f>
        <v>8</v>
      </c>
      <c r="K33" s="453">
        <f>'WK22'!N33+'WK21'!N33+'WK23'!N33+'WK24'!N33</f>
        <v>1482</v>
      </c>
      <c r="L33" s="206">
        <f>'WK22'!P33+'WK21'!P33+'WK23'!P33+'WK24'!P33</f>
        <v>0</v>
      </c>
      <c r="M33" s="206">
        <f>'WK22'!Q33+'WK21'!Q33+'WK23'!Q33</f>
        <v>2626.6552250000004</v>
      </c>
      <c r="N33" s="206">
        <f>'WK24'!Q33</f>
        <v>883.69978375000005</v>
      </c>
      <c r="O33" s="173">
        <f t="shared" ref="O33" si="2">M33+N33</f>
        <v>3510.3550087500007</v>
      </c>
      <c r="P33" s="923" t="s">
        <v>376</v>
      </c>
      <c r="Q33" s="545">
        <f>(306.1+15.4)+(155.56+11)+(189.13+22)+(140.87+20.9)+(181+18.7)+(125.51+20.9)</f>
        <v>1207.0700000000002</v>
      </c>
      <c r="R33" s="1130"/>
      <c r="S33" s="842"/>
    </row>
    <row r="34" spans="1:120" s="87" customFormat="1" ht="15" customHeight="1">
      <c r="A34" s="492"/>
      <c r="B34" s="135"/>
      <c r="C34" s="123"/>
      <c r="D34" s="359"/>
      <c r="E34" s="656"/>
      <c r="F34" s="656"/>
      <c r="G34" s="656"/>
      <c r="H34" s="359"/>
      <c r="I34" s="359"/>
      <c r="J34" s="656"/>
      <c r="K34" s="457"/>
      <c r="L34" s="124"/>
      <c r="M34" s="124"/>
      <c r="N34" s="349"/>
      <c r="O34" s="288"/>
      <c r="P34" s="360"/>
      <c r="Q34" s="554"/>
      <c r="R34" s="1132"/>
      <c r="S34" s="840"/>
    </row>
    <row r="35" spans="1:120" s="91" customFormat="1" ht="15" customHeight="1">
      <c r="A35" s="358">
        <v>8</v>
      </c>
      <c r="B35" s="1248" t="str">
        <f>Periode!$B$35</f>
        <v>Onno de Vries</v>
      </c>
      <c r="C35" s="125" t="str">
        <f>Periode!$H$35</f>
        <v>Bouw</v>
      </c>
      <c r="D35" s="233">
        <f>'WK22'!$D$35+'WK21'!$D$35+'WK23'!$D$35+'WK24'!$D$35</f>
        <v>19</v>
      </c>
      <c r="E35" s="654">
        <f>'WK22'!$E$35+'WK21'!$E$35+'WK23'!$E$35+'WK24'!$E$35</f>
        <v>152</v>
      </c>
      <c r="F35" s="654">
        <f>'WK22'!$F$35+'WK21'!$F$35+'WK23'!$F$35+'WK24'!$F$35</f>
        <v>0</v>
      </c>
      <c r="G35" s="654">
        <f>'WK22'!$G$35+'WK21'!$G$35+'WK23'!$G$35+'WK24'!$G$35</f>
        <v>0</v>
      </c>
      <c r="H35" s="233">
        <f>'WK22'!$H$35+'WK21'!$H$35+'WK23'!$H$35+'WK24'!$H$35</f>
        <v>0</v>
      </c>
      <c r="I35" s="233">
        <f>'WK22'!$I$35+'WK21'!$I$35+'WK23'!$I$35+'WK24'!$I$35</f>
        <v>0</v>
      </c>
      <c r="J35" s="654">
        <f>'WK22'!$J$35+'WK21'!$J$35+'WK23'!$J$35+'WK24'!$J$35</f>
        <v>8</v>
      </c>
      <c r="K35" s="455">
        <f>'WK22'!$N$35+'WK21'!$N$35+'WK23'!$N$35+'WK24'!$N$35</f>
        <v>380</v>
      </c>
      <c r="L35" s="255">
        <f>'WK22'!$P$35+'WK21'!$P$35+'WK23'!$P$35+'WK24'!$P$35</f>
        <v>0</v>
      </c>
      <c r="M35" s="255">
        <f>'WK22'!$Q$35+'WK21'!$Q$35+'WK23'!$Q$35</f>
        <v>1974.9608900000001</v>
      </c>
      <c r="N35" s="41">
        <f>'WK24'!$Q$35</f>
        <v>661.35500000000002</v>
      </c>
      <c r="O35" s="184">
        <f>$M$35+$N$35</f>
        <v>2636.3158899999999</v>
      </c>
      <c r="P35" s="276" t="s">
        <v>163</v>
      </c>
      <c r="Q35" s="544">
        <f>(11)+(22)+(22)+(19.8)+(11)+(20.9)</f>
        <v>106.69999999999999</v>
      </c>
      <c r="R35" s="1131">
        <f>-29.88-48.5-155.87</f>
        <v>-234.25</v>
      </c>
      <c r="S35" s="843"/>
    </row>
    <row r="36" spans="1:120" s="87" customFormat="1" ht="15" customHeight="1">
      <c r="A36" s="363"/>
      <c r="B36" s="5"/>
      <c r="C36" s="88"/>
      <c r="D36" s="231"/>
      <c r="E36" s="625"/>
      <c r="F36" s="625"/>
      <c r="G36" s="625"/>
      <c r="H36" s="231"/>
      <c r="I36" s="231"/>
      <c r="J36" s="625"/>
      <c r="K36" s="459"/>
      <c r="L36" s="107"/>
      <c r="M36" s="107"/>
      <c r="N36" s="105"/>
      <c r="O36" s="420">
        <f>'WK24'!Q34</f>
        <v>13.59</v>
      </c>
      <c r="P36" s="341">
        <f>O35+O36</f>
        <v>2649.90589</v>
      </c>
      <c r="Q36" s="552"/>
      <c r="R36" s="1130"/>
      <c r="S36" s="840"/>
    </row>
    <row r="37" spans="1:120" s="87" customFormat="1" ht="15" customHeight="1">
      <c r="A37" s="91"/>
      <c r="B37" s="113"/>
      <c r="C37" s="485"/>
      <c r="D37" s="668"/>
      <c r="E37" s="669"/>
      <c r="F37" s="669"/>
      <c r="G37" s="669"/>
      <c r="H37" s="668"/>
      <c r="I37" s="668"/>
      <c r="J37" s="669"/>
      <c r="K37" s="457"/>
      <c r="L37" s="247"/>
      <c r="M37" s="247"/>
      <c r="N37" s="247"/>
      <c r="O37" s="349"/>
      <c r="P37" s="670"/>
      <c r="Q37" s="219"/>
      <c r="R37" s="1134"/>
      <c r="S37" s="845"/>
    </row>
    <row r="38" spans="1:120" s="91" customFormat="1" ht="15" customHeight="1">
      <c r="A38" s="358"/>
      <c r="B38" s="125"/>
      <c r="C38" s="125"/>
      <c r="D38" s="233"/>
      <c r="E38" s="654"/>
      <c r="F38" s="654"/>
      <c r="G38" s="654"/>
      <c r="H38" s="233"/>
      <c r="I38" s="233"/>
      <c r="J38" s="654"/>
      <c r="K38" s="455"/>
      <c r="L38" s="255"/>
      <c r="M38" s="255"/>
      <c r="N38" s="41"/>
      <c r="O38" s="184"/>
      <c r="P38" s="312"/>
      <c r="Q38" s="544"/>
      <c r="R38" s="1131"/>
      <c r="S38" s="314"/>
    </row>
    <row r="39" spans="1:120" s="91" customFormat="1" ht="15" customHeight="1">
      <c r="A39" s="363">
        <v>9</v>
      </c>
      <c r="B39" s="964" t="str">
        <f>Periode!$B$39</f>
        <v>Jan Levering</v>
      </c>
      <c r="C39" s="5" t="str">
        <f>Periode!$H$39</f>
        <v>UTA</v>
      </c>
      <c r="D39" s="258">
        <f>'WK22'!$D$39+'WK21'!$D$39+'WK23'!$D$39+'WK24'!$D$39</f>
        <v>0</v>
      </c>
      <c r="E39" s="426">
        <f>'WK22'!$E$39+'WK21'!$E$39+'WK23'!$E$39+'WK24'!$E$39</f>
        <v>0</v>
      </c>
      <c r="F39" s="426">
        <f>'WK22'!$F$39+'WK21'!$F$39+'WK23'!$F$39+'WK24'!$F$39</f>
        <v>0</v>
      </c>
      <c r="G39" s="426">
        <f>'WK22'!$G$39+'WK21'!$G$39+'WK23'!$G$39+'WK24'!$G$39</f>
        <v>0</v>
      </c>
      <c r="H39" s="258">
        <f>'WK22'!$H$39+'WK21'!$H$39+'WK23'!$H$39+'WK24'!$H$39</f>
        <v>0</v>
      </c>
      <c r="I39" s="258">
        <f>'WK22'!$I$39+'WK21'!$I$39+'WK23'!$I$39+'WK24'!$I$39</f>
        <v>0</v>
      </c>
      <c r="J39" s="426">
        <f>'WK22'!$J$39+'WK21'!$J$39+'WK23'!$J$39+'WK24'!$J$39</f>
        <v>0</v>
      </c>
      <c r="K39" s="450">
        <f>'WK22'!$N$39+'WK21'!$N$39+'WK23'!$N$39+'WK24'!$N$39</f>
        <v>0</v>
      </c>
      <c r="L39" s="6">
        <f>'WK22'!$P$39+'WK21'!$P$39+'WK23'!$P$39+'WK24'!$P$39</f>
        <v>573.48</v>
      </c>
      <c r="M39" s="6">
        <f>'WK22'!$Q$39+'WK21'!$Q$39+'WK23'!$Q$39</f>
        <v>430.11</v>
      </c>
      <c r="N39" s="30">
        <f>'WK24'!$Q$39</f>
        <v>143.37</v>
      </c>
      <c r="O39" s="173">
        <f>$M$39+$N$39</f>
        <v>573.48</v>
      </c>
      <c r="P39" s="923" t="s">
        <v>376</v>
      </c>
      <c r="Q39" s="545">
        <f>(181.56+15.4)+(-0.15+17.6)+(115.54+9.9)+(-16.1)+(-107.28)+(0.13)+(0.13)</f>
        <v>216.73</v>
      </c>
      <c r="R39" s="1130">
        <f>-53.64+53.64</f>
        <v>0</v>
      </c>
      <c r="S39" s="314"/>
    </row>
    <row r="40" spans="1:120" s="87" customFormat="1" ht="15" customHeight="1">
      <c r="A40" s="492"/>
      <c r="B40" s="135"/>
      <c r="C40" s="123"/>
      <c r="D40" s="359"/>
      <c r="E40" s="656"/>
      <c r="F40" s="656"/>
      <c r="G40" s="656"/>
      <c r="H40" s="359"/>
      <c r="I40" s="359"/>
      <c r="J40" s="656"/>
      <c r="K40" s="457"/>
      <c r="L40" s="124"/>
      <c r="M40" s="443"/>
      <c r="N40" s="153"/>
      <c r="O40" s="157"/>
      <c r="P40" s="364"/>
      <c r="Q40" s="554"/>
      <c r="R40" s="1132"/>
      <c r="S40" s="314"/>
    </row>
    <row r="41" spans="1:120" s="87" customFormat="1" ht="15" customHeight="1">
      <c r="A41" s="358"/>
      <c r="B41" s="125"/>
      <c r="C41" s="125"/>
      <c r="D41" s="233"/>
      <c r="E41" s="654"/>
      <c r="F41" s="654"/>
      <c r="G41" s="654"/>
      <c r="H41" s="233"/>
      <c r="I41" s="233"/>
      <c r="J41" s="654"/>
      <c r="K41" s="455"/>
      <c r="L41" s="255"/>
      <c r="M41" s="255"/>
      <c r="N41" s="41"/>
      <c r="O41" s="421">
        <f>'WK24'!Q41</f>
        <v>0</v>
      </c>
      <c r="P41" s="667" t="s">
        <v>163</v>
      </c>
      <c r="Q41" s="546"/>
      <c r="R41" s="1131"/>
      <c r="S41" s="840"/>
    </row>
    <row r="42" spans="1:120" s="91" customFormat="1" ht="15" customHeight="1">
      <c r="A42" s="363">
        <v>10</v>
      </c>
      <c r="B42" s="964" t="str">
        <f>Periode!$B$42</f>
        <v>Alex van der Laan</v>
      </c>
      <c r="C42" s="5" t="str">
        <f>Periode!$H$42</f>
        <v>UTA</v>
      </c>
      <c r="D42" s="258">
        <f>'WK22'!$D$42+'WK21'!$D$42+'WK23'!$D$42+'WK24'!$D$42</f>
        <v>7</v>
      </c>
      <c r="E42" s="426">
        <f>'WK22'!$E$42+'WK21'!$E$42+'WK23'!$E$42+'WK24'!$E$42</f>
        <v>52</v>
      </c>
      <c r="F42" s="426">
        <f>'WK22'!$F$42+'WK21'!$F$42+'WK23'!$F$42+'WK24'!$F$42</f>
        <v>64</v>
      </c>
      <c r="G42" s="426">
        <f>'WK22'!$G$42+'WK21'!$G$42+'WK23'!$G$42+'WK24'!$G$42</f>
        <v>0</v>
      </c>
      <c r="H42" s="258">
        <f>'WK22'!$H$42+'WK21'!$H$42+'WK23'!$H$42+'WK24'!$H$42</f>
        <v>24</v>
      </c>
      <c r="I42" s="258">
        <f>'WK22'!$I$42+'WK21'!$I$42+'WK23'!$I$42+'WK24'!$I$42</f>
        <v>8</v>
      </c>
      <c r="J42" s="426">
        <f>'WK22'!$J$42+'WK21'!$J$42+'WK23'!$J$42+'WK24'!$J$42</f>
        <v>8</v>
      </c>
      <c r="K42" s="450">
        <f>'WK22'!$N$42+'WK21'!$N$42+'WK23'!$N$42+'WK24'!$N$42</f>
        <v>0</v>
      </c>
      <c r="L42" s="6">
        <f>'WK22'!$P$42+'WK21'!$P$42+'WK23'!$P$42+'WK24'!$P$42</f>
        <v>0</v>
      </c>
      <c r="M42" s="6">
        <f>'WK22'!$Q$42+'WK21'!$Q$42+'WK23'!$Q$42</f>
        <v>1918.0259999999998</v>
      </c>
      <c r="N42" s="30">
        <f>'WK24'!$Q$42</f>
        <v>662.99530000000004</v>
      </c>
      <c r="O42" s="173">
        <f>$M$42+$N$42</f>
        <v>2581.0212999999999</v>
      </c>
      <c r="P42" s="341">
        <f>O42+O41</f>
        <v>2581.0212999999999</v>
      </c>
      <c r="Q42" s="545">
        <f>(16.5)+(16.5)+(22)+(19.8)+(19.8)+(7.7)</f>
        <v>102.3</v>
      </c>
      <c r="R42" s="1130">
        <f>-33.25-9.75-48.21</f>
        <v>-91.210000000000008</v>
      </c>
      <c r="S42" s="843"/>
    </row>
    <row r="43" spans="1:120" s="661" customFormat="1" ht="15" customHeight="1">
      <c r="A43" s="492"/>
      <c r="B43" s="135"/>
      <c r="C43" s="532">
        <f>Periode!H43</f>
        <v>0</v>
      </c>
      <c r="D43" s="533">
        <f>'WK22'!D43+'WK21'!D43+'WK23'!D43+'WK24'!D43</f>
        <v>0</v>
      </c>
      <c r="E43" s="653">
        <f>'WK22'!E43+'WK21'!E43+'WK23'!E43+'WK24'!E43</f>
        <v>0</v>
      </c>
      <c r="F43" s="653">
        <f>'WK22'!F43+'WK21'!F43+'WK23'!F43+'WK24'!F43</f>
        <v>0</v>
      </c>
      <c r="G43" s="653">
        <f>'WK22'!G43+'WK21'!G43+'WK23'!G43+'WK24'!G43</f>
        <v>0</v>
      </c>
      <c r="H43" s="533">
        <f>'WK22'!H43+'WK21'!H43+'WK23'!H43+'WK24'!H43</f>
        <v>0</v>
      </c>
      <c r="I43" s="533">
        <f>'WK22'!I43+'WK21'!I43+'WK23'!I43+'WK24'!I43</f>
        <v>0</v>
      </c>
      <c r="J43" s="653">
        <f>'WK22'!J43+'WK21'!J43+'WK23'!J43+'WK24'!J43</f>
        <v>0</v>
      </c>
      <c r="K43" s="534">
        <f>'WK22'!O43+'WK21'!O43+'WK23'!O43+'WK24'!O43</f>
        <v>0</v>
      </c>
      <c r="L43" s="443"/>
      <c r="M43" s="443">
        <f>'WK22'!Q43+'WK21'!Q43+'WK23'!Q43</f>
        <v>0</v>
      </c>
      <c r="N43" s="162"/>
      <c r="O43" s="702"/>
      <c r="P43" s="923" t="s">
        <v>376</v>
      </c>
      <c r="Q43" s="548"/>
      <c r="R43" s="1132"/>
      <c r="S43" s="846"/>
      <c r="T43" s="262"/>
      <c r="U43" s="262"/>
      <c r="V43" s="262"/>
      <c r="W43" s="262"/>
      <c r="X43" s="262"/>
      <c r="Y43" s="262"/>
      <c r="Z43" s="262"/>
      <c r="AA43" s="262"/>
      <c r="AB43" s="262"/>
      <c r="AC43" s="262"/>
      <c r="AD43" s="262"/>
      <c r="AE43" s="262"/>
      <c r="AF43" s="262"/>
      <c r="AG43" s="262"/>
      <c r="AH43" s="262"/>
      <c r="AI43" s="262"/>
      <c r="AJ43" s="262"/>
      <c r="AK43" s="262"/>
      <c r="AL43" s="262"/>
      <c r="AM43" s="262"/>
      <c r="AN43" s="262"/>
      <c r="AO43" s="262"/>
      <c r="AP43" s="262"/>
      <c r="AQ43" s="262"/>
      <c r="AR43" s="262"/>
      <c r="AS43" s="262"/>
      <c r="AT43" s="262"/>
      <c r="AU43" s="262"/>
      <c r="AV43" s="262"/>
      <c r="AW43" s="262"/>
      <c r="AX43" s="262"/>
      <c r="AY43" s="262"/>
      <c r="AZ43" s="262"/>
      <c r="BA43" s="262"/>
      <c r="BB43" s="262"/>
      <c r="BC43" s="262"/>
      <c r="BD43" s="262"/>
      <c r="BE43" s="262"/>
      <c r="BF43" s="262"/>
      <c r="BG43" s="262"/>
      <c r="BH43" s="262"/>
      <c r="BI43" s="262"/>
      <c r="BJ43" s="262"/>
      <c r="BK43" s="262"/>
      <c r="BL43" s="262"/>
      <c r="BM43" s="262"/>
      <c r="BN43" s="262"/>
      <c r="BO43" s="262"/>
      <c r="BP43" s="262"/>
      <c r="BQ43" s="262"/>
      <c r="BR43" s="262"/>
      <c r="BS43" s="262"/>
      <c r="BT43" s="262"/>
      <c r="BU43" s="262"/>
      <c r="BV43" s="262"/>
      <c r="BW43" s="262"/>
      <c r="BX43" s="262"/>
      <c r="BY43" s="262"/>
      <c r="BZ43" s="262"/>
      <c r="CA43" s="262"/>
      <c r="CB43" s="262"/>
      <c r="CC43" s="262"/>
      <c r="CD43" s="262"/>
      <c r="CE43" s="262"/>
      <c r="CF43" s="262"/>
      <c r="CG43" s="262"/>
      <c r="CH43" s="262"/>
      <c r="CI43" s="262"/>
      <c r="CJ43" s="262"/>
      <c r="CK43" s="262"/>
      <c r="CL43" s="262"/>
      <c r="CM43" s="262"/>
      <c r="CN43" s="262"/>
      <c r="CO43" s="262"/>
      <c r="CP43" s="262"/>
      <c r="CQ43" s="262"/>
      <c r="CR43" s="262"/>
      <c r="CS43" s="262"/>
      <c r="CT43" s="262"/>
      <c r="CU43" s="262"/>
      <c r="CV43" s="262"/>
      <c r="CW43" s="262"/>
      <c r="CX43" s="262"/>
      <c r="CY43" s="262"/>
      <c r="CZ43" s="262"/>
      <c r="DA43" s="262"/>
      <c r="DB43" s="262"/>
      <c r="DC43" s="262"/>
      <c r="DD43" s="262"/>
      <c r="DE43" s="262"/>
      <c r="DF43" s="262"/>
      <c r="DG43" s="262"/>
      <c r="DH43" s="262"/>
      <c r="DI43" s="262"/>
      <c r="DJ43" s="262"/>
      <c r="DK43" s="262"/>
      <c r="DL43" s="262"/>
      <c r="DM43" s="262"/>
      <c r="DN43" s="262"/>
      <c r="DO43" s="262"/>
      <c r="DP43" s="262"/>
    </row>
    <row r="44" spans="1:120" s="91" customFormat="1" ht="15" customHeight="1">
      <c r="B44" s="468"/>
      <c r="C44" s="468"/>
      <c r="D44" s="662"/>
      <c r="E44" s="665"/>
      <c r="F44" s="654"/>
      <c r="G44" s="665"/>
      <c r="H44" s="662"/>
      <c r="I44" s="662"/>
      <c r="J44" s="665"/>
      <c r="K44" s="666"/>
      <c r="L44" s="255"/>
      <c r="M44" s="353"/>
      <c r="N44" s="353"/>
      <c r="O44" s="421"/>
      <c r="P44" s="667"/>
      <c r="Q44" s="423"/>
      <c r="R44" s="1131"/>
      <c r="S44" s="843"/>
    </row>
    <row r="45" spans="1:120" s="91" customFormat="1" ht="15" customHeight="1">
      <c r="A45" s="363"/>
      <c r="B45" s="374"/>
      <c r="C45" s="374"/>
      <c r="D45" s="663"/>
      <c r="E45" s="664"/>
      <c r="F45" s="426"/>
      <c r="G45" s="664"/>
      <c r="H45" s="663"/>
      <c r="I45" s="663"/>
      <c r="J45" s="664"/>
      <c r="K45" s="453"/>
      <c r="L45" s="6"/>
      <c r="M45" s="6"/>
      <c r="N45" s="30"/>
      <c r="O45" s="420">
        <f>'WK24'!Q45+'WK24'!Q44</f>
        <v>131.18</v>
      </c>
      <c r="P45" s="860" t="s">
        <v>163</v>
      </c>
      <c r="Q45" s="545"/>
      <c r="R45" s="1130" t="s">
        <v>398</v>
      </c>
      <c r="S45" s="843"/>
    </row>
    <row r="46" spans="1:120" s="91" customFormat="1" ht="15" customHeight="1">
      <c r="A46" s="679">
        <v>11</v>
      </c>
      <c r="B46" s="1152" t="str">
        <f>Periode!B46</f>
        <v>Shafieq Asgarali</v>
      </c>
      <c r="C46" s="374" t="str">
        <f>Periode!H46</f>
        <v>SAVG</v>
      </c>
      <c r="D46" s="663">
        <f>'WK22'!D46+'WK21'!D46+'WK23'!D46+'WK24'!D46</f>
        <v>19</v>
      </c>
      <c r="E46" s="664">
        <f>'WK22'!E46+'WK21'!E46+'WK23'!E46+'WK24'!E46</f>
        <v>138.5</v>
      </c>
      <c r="F46" s="664">
        <f>'WK22'!F46+'WK21'!F46+'WK23'!F46+'WK24'!F46</f>
        <v>0</v>
      </c>
      <c r="G46" s="664">
        <f>'WK22'!G46+'WK21'!G46+'WK23'!G46+'WK24'!G46</f>
        <v>0</v>
      </c>
      <c r="H46" s="663">
        <f>'WK22'!H46+'WK21'!H46+'WK23'!H46+'WK24'!H46</f>
        <v>0</v>
      </c>
      <c r="I46" s="663">
        <f>'WK22'!I46+'WK21'!I46+'WK23'!I46+'WK24'!I46</f>
        <v>0</v>
      </c>
      <c r="J46" s="664">
        <f>'WK22'!J46+'WK21'!J46+'WK23'!J46+'WK24'!J46</f>
        <v>7.5</v>
      </c>
      <c r="K46" s="453">
        <f>'WK22'!N46+'WK21'!N46+'WK23'!N46+'WK24'!N46</f>
        <v>0</v>
      </c>
      <c r="L46" s="206">
        <f>'WK22'!P46+'WK21'!P46+'WK23'!P46+'WK24'!P46</f>
        <v>221.35</v>
      </c>
      <c r="M46" s="206">
        <f>'WK22'!Q46+'WK21'!Q46+'WK23'!Q46</f>
        <v>1505.4484375</v>
      </c>
      <c r="N46" s="206">
        <f>'WK24'!Q46</f>
        <v>522.1953125</v>
      </c>
      <c r="O46" s="173">
        <f t="shared" ref="O46" si="3">M46+N46</f>
        <v>2027.64375</v>
      </c>
      <c r="P46" s="341">
        <f>O46+O45+O44</f>
        <v>2158.82375</v>
      </c>
      <c r="Q46" s="545">
        <f>(140.7+22.4)+(190.23+30.4)+(150.75+24)+(167.5+27.2)+(170.85+27.2)+(185.59+30.4)</f>
        <v>1167.22</v>
      </c>
      <c r="R46" s="1129">
        <v>3650</v>
      </c>
      <c r="S46" s="829" t="s">
        <v>397</v>
      </c>
    </row>
    <row r="47" spans="1:120" s="91" customFormat="1" ht="15" customHeight="1">
      <c r="A47" s="358"/>
      <c r="B47" s="125"/>
      <c r="C47" s="380"/>
      <c r="D47" s="350"/>
      <c r="E47" s="650"/>
      <c r="F47" s="650"/>
      <c r="G47" s="650"/>
      <c r="H47" s="350"/>
      <c r="I47" s="350"/>
      <c r="J47" s="650"/>
      <c r="K47" s="451"/>
      <c r="L47" s="381"/>
      <c r="M47" s="381"/>
      <c r="N47" s="422"/>
      <c r="O47" s="421">
        <f>'WK24'!Q47</f>
        <v>153.62</v>
      </c>
      <c r="P47" s="312" t="s">
        <v>163</v>
      </c>
      <c r="Q47" s="558"/>
      <c r="R47" s="1131"/>
      <c r="S47" s="968" t="s">
        <v>391</v>
      </c>
    </row>
    <row r="48" spans="1:120" s="91" customFormat="1" ht="15" customHeight="1">
      <c r="A48" s="363">
        <v>12</v>
      </c>
      <c r="B48" s="1152" t="str">
        <f>Periode!$B$48</f>
        <v>Sander van den Hoek</v>
      </c>
      <c r="C48" s="374" t="str">
        <f>Periode!$H$48</f>
        <v>UTA</v>
      </c>
      <c r="D48" s="663">
        <f>'WK22'!$D$48+'WK21'!$D$48+'WK23'!$D$48+'WK24'!$D$48</f>
        <v>10</v>
      </c>
      <c r="E48" s="664">
        <f>'WK22'!$E$48+'WK21'!$E$48+'WK23'!$E$48+'WK24'!$E$48</f>
        <v>76</v>
      </c>
      <c r="F48" s="426">
        <f>'WK22'!$F$48+'WK21'!$F$48+'WK23'!$F$48+'WK24'!$F$48</f>
        <v>0</v>
      </c>
      <c r="G48" s="664">
        <f>'WK22'!$G$48+'WK21'!$G$48+'WK23'!$G$48+'WK24'!$G$48</f>
        <v>66.600000000000009</v>
      </c>
      <c r="H48" s="663">
        <f>'WK22'!$H$48+'WK21'!$H$48+'WK23'!$H$48+'WK24'!$H$48</f>
        <v>0</v>
      </c>
      <c r="I48" s="663">
        <f>'WK22'!$I$48+'WK21'!$I$48+'WK23'!$I$48+'WK24'!$I$48</f>
        <v>0</v>
      </c>
      <c r="J48" s="664">
        <f>'WK22'!$J$48+'WK21'!$J$48+'WK23'!$J$48+'WK24'!$J$48</f>
        <v>0</v>
      </c>
      <c r="K48" s="453">
        <f>'WK22'!$N$48+'WK21'!$N$48+'WK23'!$N$48+'WK24'!$N$48</f>
        <v>560</v>
      </c>
      <c r="L48" s="206">
        <f>'WK22'!P48+'WK21'!P48+'WK23'!P48+'WK24'!P48</f>
        <v>113.6</v>
      </c>
      <c r="M48" s="6">
        <f>'WK22'!$Q$48+'WK21'!$Q$48+'WK23'!$Q$48</f>
        <v>1630.2288750000002</v>
      </c>
      <c r="N48" s="30">
        <f>'WK24'!$Q$48</f>
        <v>672.97874999999999</v>
      </c>
      <c r="O48" s="173">
        <f>$M$48+$N$48</f>
        <v>2303.207625</v>
      </c>
      <c r="P48" s="341">
        <f>O48+O47</f>
        <v>2456.8276249999999</v>
      </c>
      <c r="Q48" s="545">
        <f>(127.4+15.4)+(182+22)+(182+22)+(163.8+19.8)+(145.6+17.6)+(91+11)</f>
        <v>999.59999999999991</v>
      </c>
      <c r="R48" s="1130"/>
      <c r="S48" s="969">
        <f>(226.69+570.79)+(287.5+200.18+50.64)+(98.17+684.57)+(353.13+598.49)+(367.13+584.49)+(325.13+575.77)+(255.13+655.41)+(302.51+699.8)</f>
        <v>6835.5299999999988</v>
      </c>
    </row>
    <row r="49" spans="1:28" s="91" customFormat="1" ht="15" customHeight="1">
      <c r="A49" s="492"/>
      <c r="B49" s="135"/>
      <c r="C49" s="248"/>
      <c r="D49" s="249"/>
      <c r="E49" s="652"/>
      <c r="F49" s="652"/>
      <c r="G49" s="652"/>
      <c r="H49" s="249"/>
      <c r="I49" s="249"/>
      <c r="J49" s="652"/>
      <c r="K49" s="454"/>
      <c r="L49" s="250"/>
      <c r="M49" s="250"/>
      <c r="N49" s="153"/>
      <c r="O49" s="148"/>
      <c r="P49" s="473"/>
      <c r="Q49" s="509"/>
      <c r="R49" s="1132"/>
      <c r="S49" s="843"/>
    </row>
    <row r="50" spans="1:28" s="87" customFormat="1" ht="15" customHeight="1">
      <c r="A50" s="358"/>
      <c r="B50" s="125"/>
      <c r="C50" s="134"/>
      <c r="D50" s="231"/>
      <c r="E50" s="625"/>
      <c r="F50" s="625"/>
      <c r="G50" s="625"/>
      <c r="H50" s="231"/>
      <c r="I50" s="231"/>
      <c r="J50" s="625"/>
      <c r="K50" s="458"/>
      <c r="L50" s="361"/>
      <c r="M50" s="361"/>
      <c r="N50" s="362"/>
      <c r="O50" s="185"/>
      <c r="P50" s="256"/>
      <c r="Q50" s="553"/>
      <c r="R50" s="1131"/>
      <c r="S50" s="840"/>
    </row>
    <row r="51" spans="1:28" s="87" customFormat="1" ht="15" customHeight="1">
      <c r="A51" s="1192"/>
      <c r="B51" s="401" t="str">
        <f>Periode!B51</f>
        <v>Marcel van Zandwijk</v>
      </c>
      <c r="C51" s="401" t="str">
        <f>Periode!H51</f>
        <v>UTA</v>
      </c>
      <c r="D51" s="801">
        <f>'WK22'!D51+'WK21'!D51+'WK23'!D51+'WK24'!D51</f>
        <v>0</v>
      </c>
      <c r="E51" s="802">
        <f>'WK22'!E51+'WK21'!E51+'WK23'!E51+'WK24'!E51</f>
        <v>0</v>
      </c>
      <c r="F51" s="625">
        <f>'WK22'!F51+'WK21'!F51+'WK23'!F51+'WK24'!F51</f>
        <v>0</v>
      </c>
      <c r="G51" s="802">
        <f>'WK22'!G51+'WK21'!G51+'WK23'!G51+'WK24'!G51</f>
        <v>0</v>
      </c>
      <c r="H51" s="801">
        <f>'WK22'!H51+'WK21'!H51+'WK23'!H51+'WK24'!H51</f>
        <v>0</v>
      </c>
      <c r="I51" s="801">
        <f>'WK22'!I51+'WK21'!I51+'WK23'!I51+'WK24'!I51</f>
        <v>0</v>
      </c>
      <c r="J51" s="802">
        <f>'WK22'!J51+'WK21'!J51+'WK23'!J51+'WK24'!J51</f>
        <v>0</v>
      </c>
      <c r="K51" s="803">
        <f>'WK22'!$N$51+'WK21'!$N$51+'WK23'!$N$51+'WK24'!$N$51</f>
        <v>0</v>
      </c>
      <c r="L51" s="107">
        <f>'WK22'!$P$51+'WK21'!$P$51+'WK23'!$P$51+'WK24'!$P$51</f>
        <v>0</v>
      </c>
      <c r="M51" s="107">
        <f>'WK22'!Q51+'WK21'!Q51+'WK23'!Q51</f>
        <v>0</v>
      </c>
      <c r="N51" s="105">
        <f>'WK24'!Q51</f>
        <v>0</v>
      </c>
      <c r="O51" s="183">
        <f>$M$51+$N$51</f>
        <v>0</v>
      </c>
      <c r="P51" s="1193" t="s">
        <v>401</v>
      </c>
      <c r="Q51" s="596">
        <f>(222.27)+(173.57)+(158.64)+192.62-26.89</f>
        <v>720.21</v>
      </c>
      <c r="R51" s="1139"/>
      <c r="S51" s="840"/>
    </row>
    <row r="52" spans="1:28" s="262" customFormat="1" ht="15" customHeight="1">
      <c r="A52" s="492"/>
      <c r="B52" s="135"/>
      <c r="C52" s="532">
        <f>Periode!H52</f>
        <v>0</v>
      </c>
      <c r="D52" s="533">
        <f>'WK22'!D52+'WK21'!D52+'WK23'!D52+'WK24'!D52</f>
        <v>0</v>
      </c>
      <c r="E52" s="653">
        <f>'WK22'!E52+'WK21'!E52+'WK23'!E52+'WK24'!E52</f>
        <v>0</v>
      </c>
      <c r="F52" s="653">
        <f>'WK22'!F52+'WK21'!F52+'WK23'!F52+'WK24'!F52</f>
        <v>0</v>
      </c>
      <c r="G52" s="653">
        <f>'WK22'!G52+'WK21'!G52+'WK23'!G52+'WK24'!G52</f>
        <v>0</v>
      </c>
      <c r="H52" s="533">
        <f>'WK22'!H52+'WK21'!H52+'WK23'!H52+'WK24'!H52</f>
        <v>0</v>
      </c>
      <c r="I52" s="533">
        <f>'WK22'!I52+'WK21'!I52+'WK23'!I52+'WK24'!I52</f>
        <v>0</v>
      </c>
      <c r="J52" s="653">
        <f>'WK22'!J52+'WK21'!J52+'WK23'!J52+'WK24'!J52</f>
        <v>0</v>
      </c>
      <c r="K52" s="534">
        <f>'WK22'!O52+'WK21'!O52+'WK23'!O52+'WK24'!O52</f>
        <v>0</v>
      </c>
      <c r="L52" s="443"/>
      <c r="M52" s="443">
        <f>'WK22'!Q52+'WK21'!Q52+'WK23'!Q52</f>
        <v>0</v>
      </c>
      <c r="N52" s="536">
        <f>'WK24'!Q52</f>
        <v>0</v>
      </c>
      <c r="O52" s="203">
        <f t="shared" ref="O52" si="4">M52+N52</f>
        <v>0</v>
      </c>
      <c r="P52" s="535"/>
      <c r="Q52" s="554"/>
      <c r="R52" s="1132"/>
      <c r="S52" s="844"/>
    </row>
    <row r="53" spans="1:28" s="91" customFormat="1" ht="15" customHeight="1">
      <c r="A53" s="91">
        <v>13</v>
      </c>
      <c r="B53" s="1248" t="str">
        <f>Periode!$B$53</f>
        <v>Ronald van Maanen</v>
      </c>
      <c r="C53" s="125" t="str">
        <f>Periode!H53</f>
        <v>Bouw</v>
      </c>
      <c r="D53" s="258">
        <f>'WK22'!$D$53+'WK21'!$D$53+'WK23'!$D$53+'WK24'!$D$53</f>
        <v>19</v>
      </c>
      <c r="E53" s="426">
        <f>'WK22'!$E$53+'WK21'!$E$53+'WK23'!$E$53+'WK24'!$E$53</f>
        <v>149.5</v>
      </c>
      <c r="F53" s="426">
        <f>'WK22'!$F$53+'WK21'!$F$53+'WK23'!$F$53+'WK24'!$F$53</f>
        <v>0</v>
      </c>
      <c r="G53" s="426">
        <f>'WK22'!$G$53+'WK21'!$G$53+'WK23'!$G$53+'WK24'!$G$53</f>
        <v>0</v>
      </c>
      <c r="H53" s="258">
        <f>'WK22'!$H$53+'WK21'!$H$53+'WK23'!$H$53+'WK24'!$H$53</f>
        <v>0</v>
      </c>
      <c r="I53" s="258">
        <f>'WK22'!$I$53+'WK21'!$I$53+'WK23'!$I$53+'WK24'!$I$53</f>
        <v>0</v>
      </c>
      <c r="J53" s="426">
        <f>'WK22'!$J$53+'WK21'!$J$53+'WK23'!$J$53+'WK24'!$J$53</f>
        <v>8</v>
      </c>
      <c r="K53" s="455">
        <f>'WK22'!$N$53+'WK21'!$N$53+'WK23'!$N$53+'WK24'!$N$53</f>
        <v>1862</v>
      </c>
      <c r="L53" s="255">
        <f>'WK22'!$P$53+'WK21'!$P$53+'WK23'!$P$53+'WK24'!$P$53</f>
        <v>0</v>
      </c>
      <c r="M53" s="255">
        <f>'WK22'!$Q$53+'WK21'!$Q$53+'WK23'!$Q$53</f>
        <v>2542.5932000000003</v>
      </c>
      <c r="N53" s="41">
        <f>'WK24'!$Q$53</f>
        <v>861.28437500000018</v>
      </c>
      <c r="O53" s="184">
        <f>$M$53+$N$53</f>
        <v>3403.8775750000004</v>
      </c>
      <c r="P53" s="312"/>
      <c r="Q53" s="544">
        <f>(67.66+16.5)+(132.76+22)+(176.42+17.6)+(136.21+19.8)+(135.04+18.7)+(142.67+20.9)</f>
        <v>906.26</v>
      </c>
      <c r="R53" s="1131"/>
      <c r="S53" s="843"/>
    </row>
    <row r="54" spans="1:28" s="87" customFormat="1" ht="15" customHeight="1">
      <c r="A54" s="91"/>
      <c r="B54" s="5"/>
      <c r="C54" s="242"/>
      <c r="D54" s="252"/>
      <c r="E54" s="461"/>
      <c r="F54" s="461"/>
      <c r="G54" s="461"/>
      <c r="H54" s="252"/>
      <c r="I54" s="252"/>
      <c r="J54" s="461"/>
      <c r="K54" s="452"/>
      <c r="L54" s="254"/>
      <c r="M54" s="254"/>
      <c r="N54" s="253"/>
      <c r="O54" s="148"/>
      <c r="P54" s="341"/>
      <c r="Q54" s="552"/>
      <c r="R54" s="1130"/>
      <c r="S54" s="840"/>
    </row>
    <row r="55" spans="1:28" s="87" customFormat="1" ht="15" customHeight="1">
      <c r="A55" s="91"/>
      <c r="B55" s="135"/>
      <c r="C55" s="248"/>
      <c r="D55" s="249"/>
      <c r="E55" s="652"/>
      <c r="F55" s="652"/>
      <c r="G55" s="652"/>
      <c r="H55" s="249"/>
      <c r="I55" s="249"/>
      <c r="J55" s="652"/>
      <c r="K55" s="454"/>
      <c r="L55" s="250"/>
      <c r="M55" s="250"/>
      <c r="N55" s="440"/>
      <c r="O55" s="157"/>
      <c r="P55" s="360"/>
      <c r="Q55" s="554"/>
      <c r="R55" s="1132"/>
      <c r="S55" s="840"/>
    </row>
    <row r="56" spans="1:28" s="91" customFormat="1" ht="15" customHeight="1">
      <c r="A56" s="811"/>
      <c r="B56" s="5"/>
      <c r="C56" s="5"/>
      <c r="D56" s="258"/>
      <c r="E56" s="426"/>
      <c r="F56" s="426"/>
      <c r="G56" s="426"/>
      <c r="H56" s="258"/>
      <c r="I56" s="258"/>
      <c r="J56" s="426"/>
      <c r="K56" s="450"/>
      <c r="L56" s="6"/>
      <c r="M56" s="6"/>
      <c r="N56" s="30"/>
      <c r="O56" s="420">
        <f>'WK24'!Q56</f>
        <v>60.63</v>
      </c>
      <c r="P56" s="341" t="s">
        <v>163</v>
      </c>
      <c r="Q56" s="545"/>
      <c r="R56" s="1130"/>
      <c r="S56" s="843"/>
    </row>
    <row r="57" spans="1:28" s="91" customFormat="1" ht="15" customHeight="1">
      <c r="A57" s="91">
        <v>14</v>
      </c>
      <c r="B57" s="964" t="str">
        <f>Periode!B57</f>
        <v>Erik Visser</v>
      </c>
      <c r="C57" s="5" t="str">
        <f>Periode!H57</f>
        <v>UTA</v>
      </c>
      <c r="D57" s="258">
        <f>'WK22'!D57+'WK21'!D57+'WK23'!D57+'WK24'!D57</f>
        <v>17</v>
      </c>
      <c r="E57" s="426">
        <f>'WK22'!E57+'WK21'!E57+'WK23'!E57+'WK24'!E57</f>
        <v>125.5</v>
      </c>
      <c r="F57" s="426">
        <f>'WK22'!F57+'WK21'!F57+'WK23'!F57+'WK24'!F57</f>
        <v>16</v>
      </c>
      <c r="G57" s="426">
        <f>'WK22'!G57+'WK21'!G57+'WK23'!G57+'WK24'!G57</f>
        <v>0</v>
      </c>
      <c r="H57" s="258">
        <f>'WK22'!H57+'WK21'!H57+'WK23'!H57+'WK24'!H57</f>
        <v>0</v>
      </c>
      <c r="I57" s="258">
        <f>'WK22'!I57+'WK21'!I57+'WK23'!I57+'WK24'!I57</f>
        <v>0</v>
      </c>
      <c r="J57" s="426">
        <f>'WK22'!J57+'WK21'!J57+'WK23'!J57+'WK24'!J57</f>
        <v>8</v>
      </c>
      <c r="K57" s="450">
        <f>'WK22'!$N$57+'WK21'!$N$57+'WK23'!$N$57+'WK24'!$N$57</f>
        <v>1242</v>
      </c>
      <c r="L57" s="6">
        <f>'WK22'!$P$57+'WK21'!$P$57+'WK23'!$P$57+'WK24'!$P$57</f>
        <v>100.97999999999999</v>
      </c>
      <c r="M57" s="6">
        <f>'WK22'!Q57+'WK21'!Q57+'WK23'!Q57</f>
        <v>1865.6973400000002</v>
      </c>
      <c r="N57" s="30">
        <f>'WK24'!Q57</f>
        <v>651.06691999999998</v>
      </c>
      <c r="O57" s="173">
        <f>M57+N57</f>
        <v>2516.7642599999999</v>
      </c>
      <c r="P57" s="340">
        <f>O57+O56</f>
        <v>2577.39426</v>
      </c>
      <c r="Q57" s="545">
        <f>(27.3)+(23.14)+(23.4)+(37.05)+(34.06)+(32.63)</f>
        <v>177.57999999999998</v>
      </c>
      <c r="R57" s="1130">
        <f>-69.26-27.4-13.31-43.58+153.55</f>
        <v>0</v>
      </c>
      <c r="S57" s="843"/>
    </row>
    <row r="58" spans="1:28" s="91" customFormat="1" ht="15" customHeight="1">
      <c r="A58" s="812"/>
      <c r="B58" s="135"/>
      <c r="C58" s="135"/>
      <c r="D58" s="384"/>
      <c r="E58" s="655"/>
      <c r="F58" s="655"/>
      <c r="G58" s="655"/>
      <c r="H58" s="384"/>
      <c r="I58" s="384"/>
      <c r="J58" s="655"/>
      <c r="K58" s="472"/>
      <c r="L58" s="57"/>
      <c r="M58" s="57"/>
      <c r="N58" s="162"/>
      <c r="O58" s="385"/>
      <c r="P58" s="524"/>
      <c r="Q58" s="550"/>
      <c r="R58" s="1132"/>
      <c r="S58" s="843"/>
    </row>
    <row r="59" spans="1:28" s="246" customFormat="1" ht="15" customHeight="1">
      <c r="A59" s="821"/>
      <c r="B59" s="374"/>
      <c r="C59" s="466"/>
      <c r="D59" s="822"/>
      <c r="E59" s="823"/>
      <c r="F59" s="823"/>
      <c r="G59" s="823"/>
      <c r="H59" s="822"/>
      <c r="I59" s="822"/>
      <c r="J59" s="823"/>
      <c r="K59" s="605"/>
      <c r="L59" s="253"/>
      <c r="M59" s="253"/>
      <c r="N59" s="253"/>
      <c r="O59" s="420"/>
      <c r="P59" s="341" t="s">
        <v>163</v>
      </c>
      <c r="Q59" s="394"/>
      <c r="R59" s="1135"/>
      <c r="S59" s="847"/>
    </row>
    <row r="60" spans="1:28" s="87" customFormat="1" ht="15" customHeight="1">
      <c r="A60" s="924"/>
      <c r="B60" s="401" t="str">
        <f>Periode!B60</f>
        <v>Dirk Nouwens</v>
      </c>
      <c r="C60" s="401" t="str">
        <f>Periode!H60</f>
        <v>UTA</v>
      </c>
      <c r="D60" s="801">
        <f>'WK22'!D60+'WK21'!D60+'WK23'!D60+'WK24'!D60</f>
        <v>0</v>
      </c>
      <c r="E60" s="802">
        <f>'WK22'!E60+'WK21'!E60+'WK23'!E60+'WK24'!E60</f>
        <v>0</v>
      </c>
      <c r="F60" s="802">
        <f>'WK22'!F60+'WK21'!F60+'WK23'!F60+'WK24'!F60</f>
        <v>0</v>
      </c>
      <c r="G60" s="802">
        <f>'WK22'!G60+'WK21'!G60+'WK23'!G60+'WK24'!G60</f>
        <v>0</v>
      </c>
      <c r="H60" s="801">
        <f>'WK22'!H60+'WK21'!H60+'WK23'!H60+'WK24'!H60</f>
        <v>0</v>
      </c>
      <c r="I60" s="801">
        <f>'WK22'!I60+'WK21'!I60+'WK23'!I60+'WK24'!I60</f>
        <v>0</v>
      </c>
      <c r="J60" s="802">
        <f>'WK22'!J60+'WK21'!J60+'WK23'!J60+'WK24'!J60</f>
        <v>0</v>
      </c>
      <c r="K60" s="803">
        <f>'WK22'!N60+'WK21'!N60+'WK23'!N60+'WK24'!N60</f>
        <v>0</v>
      </c>
      <c r="L60" s="804">
        <f>'WK22'!P60+'WK21'!P60+'WK23'!P60+'WK24'!P60</f>
        <v>0</v>
      </c>
      <c r="M60" s="804">
        <f>'WK22'!Q60+'WK21'!Q60+'WK23'!Q60</f>
        <v>0</v>
      </c>
      <c r="N60" s="804">
        <f>'WK24'!Q60</f>
        <v>0</v>
      </c>
      <c r="O60" s="183">
        <f t="shared" ref="O60" si="5">M60+N60</f>
        <v>0</v>
      </c>
      <c r="P60" s="718">
        <f>O60+O59</f>
        <v>0</v>
      </c>
      <c r="Q60" s="718">
        <f>(4.39+12.1)+(15.4)+(6.6)+(7.7)</f>
        <v>46.190000000000005</v>
      </c>
      <c r="R60" s="1138">
        <f>-47.65-29.43+77.08</f>
        <v>0</v>
      </c>
      <c r="S60" s="845"/>
    </row>
    <row r="61" spans="1:28" s="87" customFormat="1" ht="15" customHeight="1">
      <c r="A61" s="91"/>
      <c r="B61" s="135"/>
      <c r="C61" s="248"/>
      <c r="D61" s="249"/>
      <c r="E61" s="652"/>
      <c r="F61" s="652"/>
      <c r="G61" s="652"/>
      <c r="H61" s="249"/>
      <c r="I61" s="249"/>
      <c r="J61" s="652"/>
      <c r="K61" s="454"/>
      <c r="L61" s="250"/>
      <c r="M61" s="250"/>
      <c r="N61" s="153"/>
      <c r="O61" s="702"/>
      <c r="P61" s="360"/>
      <c r="Q61" s="554"/>
      <c r="R61" s="1132"/>
      <c r="S61" s="840"/>
    </row>
    <row r="62" spans="1:28" s="87" customFormat="1" ht="15" customHeight="1">
      <c r="A62" s="810"/>
      <c r="B62" s="5"/>
      <c r="C62" s="242"/>
      <c r="D62" s="252"/>
      <c r="E62" s="461"/>
      <c r="F62" s="461"/>
      <c r="G62" s="461"/>
      <c r="H62" s="252"/>
      <c r="I62" s="252"/>
      <c r="J62" s="461"/>
      <c r="K62" s="452"/>
      <c r="L62" s="254"/>
      <c r="M62" s="254"/>
      <c r="N62" s="146"/>
      <c r="O62" s="420">
        <f>'WK24'!Q62</f>
        <v>123.82</v>
      </c>
      <c r="P62" s="276" t="s">
        <v>163</v>
      </c>
      <c r="Q62" s="219"/>
      <c r="R62" s="1131"/>
      <c r="S62" s="840"/>
    </row>
    <row r="63" spans="1:28" s="383" customFormat="1" ht="15" customHeight="1">
      <c r="A63" s="679">
        <v>15</v>
      </c>
      <c r="B63" s="964" t="str">
        <f>Periode!B63</f>
        <v>Youri Nouwens</v>
      </c>
      <c r="C63" s="5" t="str">
        <f>Periode!H63</f>
        <v>SAVG</v>
      </c>
      <c r="D63" s="258">
        <f>'WK22'!D63+'WK21'!D63+'WK23'!D63+'WK24'!D63</f>
        <v>0</v>
      </c>
      <c r="E63" s="426">
        <f>'WK22'!E63+'WK21'!E63+'WK23'!E63+'WK24'!E63</f>
        <v>150</v>
      </c>
      <c r="F63" s="426">
        <f>'WK22'!F63+'WK21'!F63+'WK23'!F63+'WK24'!F63</f>
        <v>0</v>
      </c>
      <c r="G63" s="426">
        <f>'WK22'!G63+'WK21'!G63+'WK23'!G63+'WK24'!G63</f>
        <v>0</v>
      </c>
      <c r="H63" s="258">
        <f>'WK22'!H63+'WK21'!H63+'WK23'!H63+'WK24'!H63</f>
        <v>0</v>
      </c>
      <c r="I63" s="258">
        <f>'WK22'!I63+'WK21'!I63+'WK23'!I63+'WK24'!I63</f>
        <v>0</v>
      </c>
      <c r="J63" s="426">
        <f>'WK22'!J63+'WK21'!J63+'WK23'!J63+'WK24'!J63</f>
        <v>0</v>
      </c>
      <c r="K63" s="450">
        <f>'WK22'!$N$63+'WK21'!$N$63+'WK23'!$N$63+'WK24'!$N$63</f>
        <v>0</v>
      </c>
      <c r="L63" s="6">
        <f>'WK22'!$P$63+'WK21'!$P$63+'WK23'!$P$63+'WK24'!$P$63</f>
        <v>0</v>
      </c>
      <c r="M63" s="6">
        <f>'WK22'!Q63+'WK21'!Q63+'WK23'!Q63</f>
        <v>1391.8359375</v>
      </c>
      <c r="N63" s="30">
        <f>'WK24'!Q63</f>
        <v>463.9453125</v>
      </c>
      <c r="O63" s="173">
        <f t="shared" ref="O63" si="6">M63+N63</f>
        <v>1855.78125</v>
      </c>
      <c r="P63" s="340">
        <f>O63+O62+O64</f>
        <v>1979.6012499999999</v>
      </c>
      <c r="Q63" s="545">
        <f>(150.02+24)+(179.56+30.4)+(95.14+16)+(67.67+11.2)+(0)</f>
        <v>573.99</v>
      </c>
      <c r="R63" s="1130"/>
      <c r="S63" s="843"/>
      <c r="T63" s="91"/>
      <c r="U63" s="91"/>
      <c r="V63" s="91"/>
      <c r="W63" s="91"/>
      <c r="X63" s="91"/>
      <c r="Y63" s="91"/>
      <c r="Z63" s="91"/>
      <c r="AA63" s="91"/>
      <c r="AB63" s="91"/>
    </row>
    <row r="64" spans="1:28" s="425" customFormat="1" ht="15" customHeight="1">
      <c r="A64" s="383"/>
      <c r="B64" s="135"/>
      <c r="C64" s="248"/>
      <c r="D64" s="249"/>
      <c r="E64" s="652"/>
      <c r="F64" s="652"/>
      <c r="G64" s="652"/>
      <c r="H64" s="249"/>
      <c r="I64" s="249"/>
      <c r="J64" s="652"/>
      <c r="K64" s="454"/>
      <c r="L64" s="250"/>
      <c r="M64" s="250"/>
      <c r="N64" s="153"/>
      <c r="O64" s="181"/>
      <c r="P64" s="360"/>
      <c r="Q64" s="360"/>
      <c r="R64" s="1132"/>
      <c r="S64" s="840"/>
      <c r="T64" s="87"/>
      <c r="U64" s="87"/>
      <c r="V64" s="87"/>
      <c r="W64" s="87"/>
      <c r="X64" s="87"/>
      <c r="Y64" s="87"/>
      <c r="Z64" s="87"/>
      <c r="AA64" s="87"/>
      <c r="AB64" s="87"/>
    </row>
    <row r="65" spans="1:28" s="383" customFormat="1" ht="15" customHeight="1">
      <c r="A65" s="679"/>
      <c r="B65" s="5"/>
      <c r="C65" s="5"/>
      <c r="D65" s="258"/>
      <c r="E65" s="426"/>
      <c r="F65" s="426"/>
      <c r="G65" s="426"/>
      <c r="H65" s="258"/>
      <c r="I65" s="258"/>
      <c r="J65" s="426"/>
      <c r="K65" s="450"/>
      <c r="L65" s="6"/>
      <c r="M65" s="6"/>
      <c r="N65" s="30"/>
      <c r="O65" s="173"/>
      <c r="P65" s="340"/>
      <c r="Q65" s="545"/>
      <c r="R65" s="1130"/>
      <c r="S65" s="843"/>
      <c r="T65" s="91"/>
      <c r="U65" s="91"/>
      <c r="V65" s="91"/>
      <c r="W65" s="91"/>
      <c r="X65" s="91"/>
      <c r="Y65" s="91"/>
      <c r="Z65" s="91"/>
      <c r="AA65" s="91"/>
      <c r="AB65" s="91"/>
    </row>
    <row r="66" spans="1:28" s="91" customFormat="1" ht="15" customHeight="1">
      <c r="A66" s="679"/>
      <c r="B66" s="374"/>
      <c r="C66" s="374"/>
      <c r="D66" s="663"/>
      <c r="E66" s="664"/>
      <c r="F66" s="664"/>
      <c r="G66" s="664"/>
      <c r="H66" s="663"/>
      <c r="I66" s="663"/>
      <c r="J66" s="664"/>
      <c r="K66" s="453"/>
      <c r="L66" s="206"/>
      <c r="M66" s="206"/>
      <c r="N66" s="206"/>
      <c r="O66" s="173"/>
      <c r="P66" s="341"/>
      <c r="Q66" s="423"/>
      <c r="R66" s="1129"/>
      <c r="S66" s="842"/>
    </row>
    <row r="67" spans="1:28" s="383" customFormat="1" ht="15" customHeight="1">
      <c r="B67" s="135"/>
      <c r="C67" s="135"/>
      <c r="D67" s="384"/>
      <c r="E67" s="655"/>
      <c r="F67" s="655"/>
      <c r="G67" s="655"/>
      <c r="H67" s="384"/>
      <c r="I67" s="384"/>
      <c r="J67" s="655"/>
      <c r="K67" s="472"/>
      <c r="L67" s="57"/>
      <c r="M67" s="57"/>
      <c r="N67" s="162"/>
      <c r="O67" s="385"/>
      <c r="P67" s="473"/>
      <c r="Q67" s="613"/>
      <c r="R67" s="1132"/>
      <c r="S67" s="843"/>
      <c r="T67" s="91"/>
      <c r="U67" s="91"/>
      <c r="V67" s="91"/>
      <c r="W67" s="91"/>
      <c r="X67" s="91"/>
      <c r="Y67" s="91"/>
      <c r="Z67" s="91"/>
      <c r="AA67" s="91"/>
      <c r="AB67" s="91"/>
    </row>
    <row r="68" spans="1:28" s="493" customFormat="1" ht="15" customHeight="1">
      <c r="A68" s="91"/>
      <c r="B68" s="5"/>
      <c r="C68" s="495"/>
      <c r="D68" s="496"/>
      <c r="E68" s="658"/>
      <c r="F68" s="658"/>
      <c r="G68" s="658"/>
      <c r="H68" s="496"/>
      <c r="I68" s="496"/>
      <c r="J68" s="658"/>
      <c r="K68" s="497"/>
      <c r="L68" s="498"/>
      <c r="M68" s="498"/>
      <c r="N68" s="502"/>
      <c r="O68" s="503"/>
      <c r="P68" s="499"/>
      <c r="Q68" s="556"/>
      <c r="R68" s="1130"/>
      <c r="S68" s="848"/>
    </row>
    <row r="69" spans="1:28" s="493" customFormat="1">
      <c r="A69" s="91"/>
      <c r="B69" s="5"/>
      <c r="C69" s="494"/>
      <c r="D69" s="496"/>
      <c r="E69" s="658"/>
      <c r="F69" s="658"/>
      <c r="G69" s="658"/>
      <c r="H69" s="496"/>
      <c r="I69" s="496"/>
      <c r="J69" s="658"/>
      <c r="K69" s="500"/>
      <c r="L69" s="501"/>
      <c r="M69" s="501"/>
      <c r="N69" s="502"/>
      <c r="O69" s="503"/>
      <c r="P69" s="499"/>
      <c r="Q69" s="557"/>
      <c r="R69" s="1130"/>
      <c r="S69" s="848"/>
    </row>
    <row r="70" spans="1:28" s="383" customFormat="1" ht="15" customHeight="1">
      <c r="A70" s="383">
        <v>16</v>
      </c>
      <c r="B70" s="1153" t="str">
        <f>Periode!B70</f>
        <v>Marco Booij</v>
      </c>
      <c r="C70" s="135" t="str">
        <f>Periode!H70</f>
        <v>Schilder</v>
      </c>
      <c r="D70" s="384">
        <f>'WK22'!D70+'WK21'!D70+'WK23'!D70+'WK24'!D70</f>
        <v>0</v>
      </c>
      <c r="E70" s="655">
        <f>'WK22'!E70+'WK21'!E70+'WK23'!E70+'WK24'!E70</f>
        <v>0</v>
      </c>
      <c r="F70" s="655">
        <f>'WK22'!F70+'WK21'!F70+'WK23'!F70+'WK24'!F70</f>
        <v>0</v>
      </c>
      <c r="G70" s="655">
        <f>'WK22'!G70+'WK21'!G70+'WK23'!G70+'WK24'!G70</f>
        <v>0</v>
      </c>
      <c r="H70" s="384">
        <f>'WK22'!H70+'WK21'!H70+'WK23'!H70+'WK24'!H70</f>
        <v>0</v>
      </c>
      <c r="I70" s="384">
        <f>'WK22'!I70+'WK21'!I70+'WK23'!I70+'WK24'!I70</f>
        <v>0</v>
      </c>
      <c r="J70" s="655">
        <f>'WK22'!J70+'WK21'!J70+'WK23'!J70+'WK24'!J70</f>
        <v>0</v>
      </c>
      <c r="K70" s="450">
        <f>'WK22'!$N$70+'WK21'!$N$70+'WK23'!$N$70+'WK24'!$N$70</f>
        <v>0</v>
      </c>
      <c r="L70" s="57">
        <f>'WK22'!$P$70+'WK21'!$P$70+'WK23'!$P$70+'WK24'!$P$70</f>
        <v>686.6</v>
      </c>
      <c r="M70" s="57">
        <f>'WK22'!Q70+'WK21'!Q70+'WK23'!Q70</f>
        <v>514.95000000000005</v>
      </c>
      <c r="N70" s="162">
        <f>'WK24'!Q70</f>
        <v>171.65</v>
      </c>
      <c r="O70" s="385">
        <f t="shared" ref="O70" si="7">M70+N70</f>
        <v>686.6</v>
      </c>
      <c r="P70" s="220"/>
      <c r="Q70" s="550"/>
      <c r="R70" s="1132"/>
      <c r="S70" s="843"/>
      <c r="T70" s="91"/>
      <c r="U70" s="91"/>
      <c r="V70" s="91"/>
      <c r="W70" s="91"/>
      <c r="X70" s="91"/>
      <c r="Y70" s="91"/>
      <c r="Z70" s="91"/>
      <c r="AA70" s="91"/>
      <c r="AB70" s="91"/>
    </row>
    <row r="71" spans="1:28" s="246" customFormat="1" ht="15" customHeight="1">
      <c r="A71" s="358"/>
      <c r="B71" s="125"/>
      <c r="C71" s="380"/>
      <c r="D71" s="350"/>
      <c r="E71" s="350"/>
      <c r="F71" s="650"/>
      <c r="G71" s="650"/>
      <c r="H71" s="350"/>
      <c r="I71" s="350"/>
      <c r="J71" s="650"/>
      <c r="K71" s="451"/>
      <c r="L71" s="381"/>
      <c r="M71" s="381"/>
      <c r="N71" s="422"/>
      <c r="O71" s="351"/>
      <c r="P71" s="589"/>
      <c r="Q71" s="394"/>
      <c r="R71" s="1131"/>
      <c r="S71" s="311"/>
    </row>
    <row r="72" spans="1:28" s="246" customFormat="1" ht="15" customHeight="1">
      <c r="A72" s="363"/>
      <c r="B72" s="5"/>
      <c r="C72" s="242"/>
      <c r="D72" s="252"/>
      <c r="E72" s="252"/>
      <c r="F72" s="461"/>
      <c r="G72" s="461"/>
      <c r="H72" s="252"/>
      <c r="I72" s="252"/>
      <c r="J72" s="461"/>
      <c r="K72" s="452"/>
      <c r="L72" s="254"/>
      <c r="M72" s="254"/>
      <c r="N72" s="146"/>
      <c r="O72" s="148"/>
      <c r="P72" s="338"/>
      <c r="Q72" s="555"/>
      <c r="R72" s="1130"/>
      <c r="S72" s="311"/>
    </row>
    <row r="73" spans="1:28" s="91" customFormat="1" ht="15" customHeight="1">
      <c r="A73" s="363"/>
      <c r="B73" s="5"/>
      <c r="C73" s="242"/>
      <c r="D73" s="252"/>
      <c r="E73" s="252"/>
      <c r="F73" s="461"/>
      <c r="G73" s="461"/>
      <c r="H73" s="252"/>
      <c r="I73" s="252"/>
      <c r="J73" s="461"/>
      <c r="K73" s="452"/>
      <c r="L73" s="254"/>
      <c r="M73" s="254"/>
      <c r="N73" s="146"/>
      <c r="O73" s="148"/>
      <c r="P73" s="276"/>
      <c r="Q73" s="598"/>
      <c r="R73" s="1130"/>
      <c r="S73" s="843"/>
    </row>
    <row r="74" spans="1:28" s="91" customFormat="1" ht="15" customHeight="1">
      <c r="A74" s="810">
        <v>17</v>
      </c>
      <c r="B74" s="1251" t="str">
        <f>Periode!B74</f>
        <v>Kevin Schuiling</v>
      </c>
      <c r="C74" s="468" t="str">
        <f>Periode!H74</f>
        <v>Bouw</v>
      </c>
      <c r="D74" s="662">
        <f>'WK22'!D74+'WK21'!D74+'WK23'!D74+'WK24'!D74</f>
        <v>18</v>
      </c>
      <c r="E74" s="665">
        <f>'WK22'!E74+'WK21'!E74+'WK23'!E74+'WK24'!E74</f>
        <v>139.5</v>
      </c>
      <c r="F74" s="665">
        <f>'WK22'!F74+'WK21'!F74+'WK23'!F74+'WK24'!F74</f>
        <v>0</v>
      </c>
      <c r="G74" s="665">
        <f>'WK22'!G74+'WK21'!G74+'WK23'!G74+'WK24'!G74</f>
        <v>0</v>
      </c>
      <c r="H74" s="662">
        <f>'WK22'!H74+'WK21'!H74+'WK23'!H74+'WK24'!H74</f>
        <v>0</v>
      </c>
      <c r="I74" s="662">
        <f>'WK22'!I74+'WK21'!I74+'WK23'!I74+'WK24'!I74</f>
        <v>0</v>
      </c>
      <c r="J74" s="665">
        <f>'WK22'!J74+'WK21'!J74+'WK23'!J74+'WK24'!J74</f>
        <v>8</v>
      </c>
      <c r="K74" s="666">
        <f>'WK22'!$N$74+'WK21'!$N$74+'WK23'!$N$74+'WK24'!$N$74</f>
        <v>2074</v>
      </c>
      <c r="L74" s="353">
        <f>'WK22'!$P$74+'WK21'!$P$74+'WK23'!$P$74+'WK24'!$P$74</f>
        <v>0</v>
      </c>
      <c r="M74" s="353">
        <f>'WK22'!Q74+'WK21'!Q74+'WK23'!Q74</f>
        <v>2027.3825999999999</v>
      </c>
      <c r="N74" s="353">
        <f>'WK24'!Q74</f>
        <v>762.4</v>
      </c>
      <c r="O74" s="184">
        <f t="shared" ref="O74" si="8">M74+N74</f>
        <v>2789.7826</v>
      </c>
      <c r="P74" s="1092" t="s">
        <v>379</v>
      </c>
      <c r="Q74" s="680">
        <f>(14.3)+(11)+(20.9)+(19.8)+(16.5)+(19.8)</f>
        <v>102.3</v>
      </c>
      <c r="R74" s="1136"/>
      <c r="S74" s="1147" t="s">
        <v>395</v>
      </c>
    </row>
    <row r="75" spans="1:28" s="87" customFormat="1" ht="15" customHeight="1">
      <c r="A75" s="363"/>
      <c r="B75" s="5"/>
      <c r="C75" s="242"/>
      <c r="D75" s="252"/>
      <c r="E75" s="252"/>
      <c r="F75" s="461"/>
      <c r="G75" s="461"/>
      <c r="H75" s="252"/>
      <c r="I75" s="252"/>
      <c r="J75" s="461"/>
      <c r="K75" s="452"/>
      <c r="L75" s="254"/>
      <c r="M75" s="254"/>
      <c r="N75" s="146"/>
      <c r="O75" s="420"/>
      <c r="P75" s="341"/>
      <c r="Q75" s="423"/>
      <c r="R75" s="1130"/>
      <c r="S75" s="1148">
        <f>5000-158.29-126.98-305.82-281.58-358.95-358.23</f>
        <v>3410.150000000001</v>
      </c>
    </row>
    <row r="76" spans="1:28" s="87" customFormat="1" ht="15" customHeight="1">
      <c r="A76" s="492"/>
      <c r="B76" s="135"/>
      <c r="C76" s="248"/>
      <c r="D76" s="249"/>
      <c r="E76" s="249"/>
      <c r="F76" s="652"/>
      <c r="G76" s="652"/>
      <c r="H76" s="249"/>
      <c r="I76" s="249"/>
      <c r="J76" s="652"/>
      <c r="K76" s="454"/>
      <c r="L76" s="250"/>
      <c r="M76" s="250"/>
      <c r="N76" s="153"/>
      <c r="O76" s="157"/>
      <c r="P76" s="251"/>
      <c r="Q76" s="515"/>
      <c r="R76" s="1132"/>
      <c r="S76" s="840"/>
    </row>
    <row r="77" spans="1:28" s="91" customFormat="1" ht="15" customHeight="1">
      <c r="A77" s="679">
        <v>18</v>
      </c>
      <c r="B77" s="1251" t="str">
        <f>Periode!B77</f>
        <v>Steven Lamers</v>
      </c>
      <c r="C77" s="468" t="str">
        <f>Periode!H77</f>
        <v>Bouw</v>
      </c>
      <c r="D77" s="662">
        <f>'WK22'!D77+'WK21'!D77+'WK23'!D77+'WK24'!D77</f>
        <v>18</v>
      </c>
      <c r="E77" s="665">
        <f>'WK22'!E77+'WK21'!E77+'WK23'!E77+'WK24'!E77</f>
        <v>139.5</v>
      </c>
      <c r="F77" s="665">
        <f>'WK22'!F77+'WK21'!F77+'WK23'!F77+'WK24'!F77</f>
        <v>0</v>
      </c>
      <c r="G77" s="665">
        <f>'WK22'!G77+'WK21'!G77+'WK23'!G77+'WK24'!G77</f>
        <v>0</v>
      </c>
      <c r="H77" s="662">
        <f>'WK22'!H77+'WK21'!H77+'WK23'!H77+'WK24'!H77</f>
        <v>0</v>
      </c>
      <c r="I77" s="662">
        <f>'WK22'!I77+'WK21'!I77+'WK23'!I77+'WK24'!I77</f>
        <v>0</v>
      </c>
      <c r="J77" s="665">
        <f>'WK22'!J77+'WK21'!J77+'WK23'!J77+'WK24'!J77</f>
        <v>8</v>
      </c>
      <c r="K77" s="666">
        <f>'WK22'!$N$77+'WK21'!$N$77+'WK23'!$N$77+'WK24'!$N$77</f>
        <v>0</v>
      </c>
      <c r="L77" s="353">
        <f>'WK22'!$P$77+'WK21'!$P$77+'WK23'!$P$77+'WK24'!$P$77</f>
        <v>-417</v>
      </c>
      <c r="M77" s="353">
        <f>'WK22'!Q77+'WK21'!Q77+'WK23'!Q77</f>
        <v>1640.1084599999999</v>
      </c>
      <c r="N77" s="353">
        <f>'WK24'!Q77</f>
        <v>385.32000000000005</v>
      </c>
      <c r="O77" s="184">
        <f t="shared" ref="O77" si="9">M77+N77</f>
        <v>2025.4284600000001</v>
      </c>
      <c r="P77" s="341" t="s">
        <v>163</v>
      </c>
      <c r="Q77" s="680">
        <f>(14.3)+(15.4)+(20.9)+(18.7)+(16.5)+(19.8)</f>
        <v>105.6</v>
      </c>
      <c r="R77" s="1136">
        <f>-113.83-91.51</f>
        <v>-205.34</v>
      </c>
      <c r="S77" s="829"/>
    </row>
    <row r="78" spans="1:28" s="87" customFormat="1" ht="15" customHeight="1">
      <c r="A78" s="91"/>
      <c r="B78" s="5"/>
      <c r="C78" s="242"/>
      <c r="D78" s="252"/>
      <c r="E78" s="252"/>
      <c r="F78" s="461"/>
      <c r="G78" s="461"/>
      <c r="H78" s="252"/>
      <c r="I78" s="252"/>
      <c r="J78" s="461"/>
      <c r="K78" s="452"/>
      <c r="L78" s="254"/>
      <c r="M78" s="254"/>
      <c r="N78" s="146"/>
      <c r="O78" s="420">
        <f>'WK24'!Q76</f>
        <v>60.43</v>
      </c>
      <c r="P78" s="341">
        <f>O77+O78</f>
        <v>2085.8584599999999</v>
      </c>
      <c r="Q78" s="423"/>
      <c r="R78" s="1130"/>
      <c r="S78" s="314"/>
    </row>
    <row r="79" spans="1:28" s="87" customFormat="1" ht="15" customHeight="1">
      <c r="A79" s="383"/>
      <c r="B79" s="135"/>
      <c r="C79" s="248"/>
      <c r="D79" s="249"/>
      <c r="E79" s="249"/>
      <c r="F79" s="652"/>
      <c r="G79" s="652"/>
      <c r="H79" s="249"/>
      <c r="I79" s="249"/>
      <c r="J79" s="652"/>
      <c r="K79" s="454"/>
      <c r="L79" s="250"/>
      <c r="M79" s="250"/>
      <c r="N79" s="153"/>
      <c r="O79" s="157"/>
      <c r="P79" s="251"/>
      <c r="Q79" s="515"/>
      <c r="R79" s="1175">
        <v>80</v>
      </c>
      <c r="S79" s="1174" t="s">
        <v>430</v>
      </c>
    </row>
    <row r="80" spans="1:28" s="91" customFormat="1" ht="15" customHeight="1">
      <c r="A80" s="679">
        <v>19</v>
      </c>
      <c r="B80" s="1152" t="str">
        <f>Periode!B80</f>
        <v>Leo van Doorn</v>
      </c>
      <c r="C80" s="374" t="str">
        <f>Periode!H80</f>
        <v>UTA</v>
      </c>
      <c r="D80" s="663">
        <f>'WK22'!D80+'WK21'!D80+'WK23'!D80+'WK24'!D80</f>
        <v>19</v>
      </c>
      <c r="E80" s="664">
        <f>'WK22'!E80+'WK21'!E80+'WK23'!E80+'WK24'!E80</f>
        <v>152</v>
      </c>
      <c r="F80" s="664">
        <f>'WK22'!F80+'WK21'!F80+'WK23'!F80+'WK24'!F80</f>
        <v>0</v>
      </c>
      <c r="G80" s="664">
        <f>'WK22'!G80+'WK21'!G80+'WK23'!G80+'WK24'!G80</f>
        <v>0</v>
      </c>
      <c r="H80" s="663">
        <f>'WK22'!H80+'WK21'!H80+'WK23'!H80+'WK24'!H80</f>
        <v>0</v>
      </c>
      <c r="I80" s="663">
        <f>'WK22'!I80+'WK21'!I80+'WK23'!I80+'WK24'!I80</f>
        <v>0</v>
      </c>
      <c r="J80" s="664">
        <f>'WK22'!J80+'WK21'!J80+'WK23'!J80+'WK24'!J80</f>
        <v>8</v>
      </c>
      <c r="K80" s="453">
        <f>'WK22'!N80+'WK21'!N80+'WK23'!N80+'WK24'!N80</f>
        <v>798</v>
      </c>
      <c r="L80" s="206">
        <f>'WK22'!P80+'WK21'!P80+'WK23'!P80+'WK24'!P80</f>
        <v>0</v>
      </c>
      <c r="M80" s="206">
        <f>'WK22'!Q80+'WK21'!Q80+'WK23'!Q80</f>
        <v>2296.2590799999998</v>
      </c>
      <c r="N80" s="206">
        <f>'WK24'!Q80</f>
        <v>770.56</v>
      </c>
      <c r="O80" s="173">
        <f t="shared" ref="O80" si="10">M80+N80</f>
        <v>3066.8190799999998</v>
      </c>
      <c r="P80" s="923"/>
      <c r="Q80" s="680">
        <f>(200.6+16.5)+(166.17+20.9)+(197.18+18.7)+(178.38+20.9)+(187.82+13.2)+(170.56+20.9)</f>
        <v>1211.81</v>
      </c>
      <c r="R80" s="1136"/>
      <c r="S80" s="842"/>
    </row>
    <row r="81" spans="1:19" s="87" customFormat="1" ht="15" customHeight="1">
      <c r="A81" s="91"/>
      <c r="B81" s="5"/>
      <c r="C81" s="242"/>
      <c r="D81" s="252"/>
      <c r="E81" s="252"/>
      <c r="F81" s="461"/>
      <c r="G81" s="461"/>
      <c r="H81" s="252"/>
      <c r="I81" s="252"/>
      <c r="J81" s="461"/>
      <c r="K81" s="452"/>
      <c r="L81" s="254"/>
      <c r="M81" s="254"/>
      <c r="N81" s="146"/>
      <c r="O81" s="148"/>
      <c r="P81" s="338"/>
      <c r="Q81" s="510"/>
      <c r="R81" s="1130"/>
      <c r="S81" s="840"/>
    </row>
    <row r="82" spans="1:19" s="87" customFormat="1" ht="15" customHeight="1">
      <c r="A82" s="383"/>
      <c r="B82" s="135"/>
      <c r="C82" s="248"/>
      <c r="D82" s="249"/>
      <c r="E82" s="249"/>
      <c r="F82" s="652"/>
      <c r="G82" s="652"/>
      <c r="H82" s="249"/>
      <c r="I82" s="249"/>
      <c r="J82" s="652"/>
      <c r="K82" s="454"/>
      <c r="L82" s="250"/>
      <c r="M82" s="250"/>
      <c r="N82" s="153"/>
      <c r="O82" s="157"/>
      <c r="P82" s="251"/>
      <c r="Q82" s="515"/>
      <c r="R82" s="1132"/>
      <c r="S82" s="840"/>
    </row>
    <row r="83" spans="1:19" s="91" customFormat="1" ht="15" customHeight="1">
      <c r="A83" s="679">
        <v>20</v>
      </c>
      <c r="B83" s="1152" t="str">
        <f>Periode!B83</f>
        <v>Tobin van de Kuil</v>
      </c>
      <c r="C83" s="374" t="str">
        <f>Periode!H83</f>
        <v>Bouw</v>
      </c>
      <c r="D83" s="663">
        <f>'WK22'!D83+'WK21'!D83+'WK23'!D83+'WK24'!D83</f>
        <v>9</v>
      </c>
      <c r="E83" s="664">
        <f>'WK22'!E83+'WK21'!E83+'WK23'!E83+'WK24'!E83</f>
        <v>69</v>
      </c>
      <c r="F83" s="664">
        <f>'WK22'!F83+'WK21'!F83+'WK23'!F83+'WK24'!F83</f>
        <v>7.5</v>
      </c>
      <c r="G83" s="664">
        <f>'WK22'!G83+'WK21'!G83+'WK23'!G83+'WK24'!G83</f>
        <v>0</v>
      </c>
      <c r="H83" s="663">
        <f>'WK22'!H83+'WK21'!H83+'WK23'!H83+'WK24'!H83</f>
        <v>0</v>
      </c>
      <c r="I83" s="663">
        <f>'WK22'!I83+'WK21'!I83+'WK23'!I83+'WK24'!I83</f>
        <v>0</v>
      </c>
      <c r="J83" s="664">
        <f>'WK22'!J83+'WK21'!J83+'WK23'!J83+'WK24'!J83</f>
        <v>8</v>
      </c>
      <c r="K83" s="453">
        <f>'WK22'!N83+'WK21'!N83+'WK23'!N83+'WK24'!N83</f>
        <v>768</v>
      </c>
      <c r="L83" s="206">
        <f>'WK22'!P83+'WK21'!P83+'WK23'!P83+'WK24'!P83</f>
        <v>0</v>
      </c>
      <c r="M83" s="206">
        <f>'WK22'!Q83+'WK21'!Q83+'WK23'!Q83</f>
        <v>974.14085999999998</v>
      </c>
      <c r="N83" s="206">
        <f>'WK24'!Q83</f>
        <v>822.08513437500005</v>
      </c>
      <c r="O83" s="173">
        <f>M83+N83</f>
        <v>1796.225994375</v>
      </c>
      <c r="P83" s="341" t="s">
        <v>163</v>
      </c>
      <c r="Q83" s="423">
        <f>(0)+(0)+(0)+(14.3)+(13.2)+(9.9)</f>
        <v>37.4</v>
      </c>
      <c r="R83" s="1129"/>
      <c r="S83" s="842"/>
    </row>
    <row r="84" spans="1:19" s="87" customFormat="1" ht="15" customHeight="1">
      <c r="A84" s="91"/>
      <c r="B84" s="5"/>
      <c r="C84" s="242"/>
      <c r="D84" s="252"/>
      <c r="E84" s="252"/>
      <c r="F84" s="461"/>
      <c r="G84" s="461"/>
      <c r="H84" s="252"/>
      <c r="I84" s="252"/>
      <c r="J84" s="461"/>
      <c r="K84" s="452"/>
      <c r="L84" s="254"/>
      <c r="M84" s="254"/>
      <c r="N84" s="146"/>
      <c r="O84" s="420">
        <f>'WK24'!Q82</f>
        <v>46.36</v>
      </c>
      <c r="P84" s="341">
        <f>O83+O84</f>
        <v>1842.5859943749999</v>
      </c>
      <c r="Q84" s="510"/>
      <c r="R84" s="1130"/>
      <c r="S84" s="840"/>
    </row>
    <row r="85" spans="1:19" s="87" customFormat="1" ht="15" customHeight="1">
      <c r="A85" s="383"/>
      <c r="B85" s="135"/>
      <c r="C85" s="248"/>
      <c r="D85" s="249"/>
      <c r="E85" s="249"/>
      <c r="F85" s="652"/>
      <c r="G85" s="652"/>
      <c r="H85" s="249"/>
      <c r="I85" s="249"/>
      <c r="J85" s="652"/>
      <c r="K85" s="454"/>
      <c r="L85" s="250"/>
      <c r="M85" s="250"/>
      <c r="N85" s="153"/>
      <c r="O85" s="157"/>
      <c r="P85" s="251"/>
      <c r="Q85" s="515"/>
      <c r="R85" s="1132"/>
      <c r="S85" s="840"/>
    </row>
    <row r="86" spans="1:19" s="87" customFormat="1" ht="15" customHeight="1">
      <c r="A86" s="91"/>
      <c r="B86" s="125"/>
      <c r="C86" s="134"/>
      <c r="D86" s="232"/>
      <c r="E86" s="232"/>
      <c r="F86" s="657"/>
      <c r="G86" s="657"/>
      <c r="H86" s="232"/>
      <c r="I86" s="232"/>
      <c r="J86" s="657"/>
      <c r="K86" s="458"/>
      <c r="L86" s="361"/>
      <c r="M86" s="361"/>
      <c r="N86" s="362"/>
      <c r="O86" s="185"/>
      <c r="P86" s="256"/>
      <c r="Q86" s="688"/>
      <c r="R86" s="1131"/>
      <c r="S86" s="840"/>
    </row>
    <row r="87" spans="1:19" s="91" customFormat="1" ht="15" customHeight="1">
      <c r="A87" s="679">
        <v>21</v>
      </c>
      <c r="B87" s="1152" t="str">
        <f>Periode!B87</f>
        <v>Carlo Peetoom</v>
      </c>
      <c r="C87" s="374" t="str">
        <f>Periode!H87</f>
        <v>UTA</v>
      </c>
      <c r="D87" s="663">
        <f>'WK22'!D87+'WK21'!D87+'WK23'!D87+'WK24'!D87</f>
        <v>15</v>
      </c>
      <c r="E87" s="664">
        <f>'WK22'!E87+'WK21'!E87+'WK23'!E87+'WK24'!E87</f>
        <v>120</v>
      </c>
      <c r="F87" s="664">
        <f>'WK22'!F87+'WK21'!F87+'WK23'!F87+'WK24'!F87</f>
        <v>0</v>
      </c>
      <c r="G87" s="664">
        <f>'WK22'!G87+'WK21'!G87+'WK23'!G87+'WK24'!G87</f>
        <v>0</v>
      </c>
      <c r="H87" s="663">
        <f>'WK22'!H87+'WK21'!H87+'WK23'!H87+'WK24'!H87</f>
        <v>0</v>
      </c>
      <c r="I87" s="663">
        <f>'WK22'!I87+'WK21'!I87+'WK23'!I87+'WK24'!I87</f>
        <v>0</v>
      </c>
      <c r="J87" s="664">
        <f>'WK22'!J87+'WK21'!J87+'WK23'!J87+'WK24'!J87</f>
        <v>8</v>
      </c>
      <c r="K87" s="453">
        <f>'WK22'!N87+'WK21'!N87+'WK23'!N87+'WK24'!N87</f>
        <v>1200</v>
      </c>
      <c r="L87" s="206">
        <f>'WK22'!P87+'WK21'!P87+'WK23'!P87+'WK24'!P87</f>
        <v>112.95</v>
      </c>
      <c r="M87" s="206">
        <f>'WK22'!Q87+'WK21'!Q87+'WK23'!Q87</f>
        <v>2337.8752500000001</v>
      </c>
      <c r="N87" s="206">
        <f>'WK24'!Q87</f>
        <v>752.54</v>
      </c>
      <c r="O87" s="173">
        <f>M87+N87</f>
        <v>3090.41525</v>
      </c>
      <c r="P87" s="341"/>
      <c r="Q87" s="423">
        <f>(262.12+13.2)+(180.21+17.6)+(191.36+13.2)+(212.35+15.4)+(211.21+15.4)+(75.64+16.5)</f>
        <v>1224.1900000000003</v>
      </c>
      <c r="R87" s="1129"/>
      <c r="S87" s="842"/>
    </row>
    <row r="88" spans="1:19" s="87" customFormat="1" ht="15" customHeight="1">
      <c r="A88" s="809"/>
      <c r="B88" s="852"/>
      <c r="C88" s="689"/>
      <c r="D88" s="690"/>
      <c r="E88" s="690"/>
      <c r="F88" s="691"/>
      <c r="G88" s="691"/>
      <c r="H88" s="690"/>
      <c r="I88" s="690"/>
      <c r="J88" s="691"/>
      <c r="K88" s="692"/>
      <c r="L88" s="693"/>
      <c r="M88" s="693"/>
      <c r="N88" s="694"/>
      <c r="O88" s="695"/>
      <c r="P88" s="696"/>
      <c r="Q88" s="697"/>
      <c r="R88" s="1137"/>
      <c r="S88" s="840"/>
    </row>
    <row r="89" spans="1:19" s="87" customFormat="1" ht="15" customHeight="1">
      <c r="A89" s="91"/>
      <c r="B89" s="5"/>
      <c r="C89" s="88"/>
      <c r="D89" s="231"/>
      <c r="E89" s="231"/>
      <c r="F89" s="625"/>
      <c r="G89" s="625"/>
      <c r="H89" s="231"/>
      <c r="I89" s="231"/>
      <c r="J89" s="625"/>
      <c r="K89" s="459"/>
      <c r="L89" s="107"/>
      <c r="M89" s="107"/>
      <c r="N89" s="105"/>
      <c r="O89" s="183"/>
      <c r="P89" s="923"/>
      <c r="Q89" s="219"/>
      <c r="R89" s="1130"/>
      <c r="S89" s="840"/>
    </row>
    <row r="90" spans="1:19" s="91" customFormat="1" ht="15" customHeight="1">
      <c r="A90" s="679">
        <v>22</v>
      </c>
      <c r="B90" s="374" t="str">
        <f>Periode!B90</f>
        <v>Aries Provence</v>
      </c>
      <c r="C90" s="374" t="str">
        <f>Periode!H90</f>
        <v>UTA</v>
      </c>
      <c r="D90" s="663">
        <f>'WK22'!D90+'WK21'!D90+'WK23'!D90+'WK24'!D90</f>
        <v>18</v>
      </c>
      <c r="E90" s="664">
        <f>'WK22'!E90+'WK21'!E90+'WK23'!E90+'WK24'!E90</f>
        <v>144</v>
      </c>
      <c r="F90" s="664">
        <f>'WK22'!F90+'WK21'!F90+'WK23'!F90+'WK24'!F90</f>
        <v>0</v>
      </c>
      <c r="G90" s="664">
        <f>'WK22'!G90+'WK21'!G90+'WK23'!G90+'WK24'!G90</f>
        <v>0</v>
      </c>
      <c r="H90" s="663">
        <f>'WK22'!H90+'WK21'!H90+'WK23'!H90+'WK24'!H90</f>
        <v>0</v>
      </c>
      <c r="I90" s="663">
        <f>'WK22'!I90+'WK21'!I90+'WK23'!I90+'WK24'!I90</f>
        <v>0</v>
      </c>
      <c r="J90" s="664">
        <f>'WK22'!J90+'WK21'!J90+'WK23'!J90+'WK24'!J90</f>
        <v>8</v>
      </c>
      <c r="K90" s="453">
        <f>'WK22'!N90+'WK21'!N90+'WK23'!N90+'WK24'!N90</f>
        <v>3060</v>
      </c>
      <c r="L90" s="206">
        <f>'WK22'!P90+'WK21'!P90+'WK23'!P90+'WK24'!P90</f>
        <v>13.6</v>
      </c>
      <c r="M90" s="206">
        <f>'WK22'!Q90+'WK21'!Q90+'WK23'!Q90</f>
        <v>2230.0279099999998</v>
      </c>
      <c r="N90" s="206">
        <f>'WK24'!Q90</f>
        <v>812.84500000000003</v>
      </c>
      <c r="O90" s="173">
        <f>M90+N90</f>
        <v>3042.87291</v>
      </c>
      <c r="P90" s="341"/>
      <c r="Q90" s="423">
        <f>(182.9+20.9)+(158.25+17.6)</f>
        <v>379.65</v>
      </c>
      <c r="R90" s="1129"/>
      <c r="S90" s="842"/>
    </row>
    <row r="91" spans="1:19" s="87" customFormat="1" ht="15" customHeight="1">
      <c r="A91" s="383"/>
      <c r="B91" s="135"/>
      <c r="C91" s="123"/>
      <c r="D91" s="359"/>
      <c r="E91" s="359"/>
      <c r="F91" s="656"/>
      <c r="G91" s="656"/>
      <c r="H91" s="359"/>
      <c r="I91" s="359"/>
      <c r="J91" s="656"/>
      <c r="K91" s="457"/>
      <c r="L91" s="124"/>
      <c r="M91" s="124"/>
      <c r="N91" s="349"/>
      <c r="O91" s="288"/>
      <c r="P91" s="698"/>
      <c r="Q91" s="699"/>
      <c r="R91" s="1132"/>
      <c r="S91" s="840"/>
    </row>
    <row r="92" spans="1:19" s="91" customFormat="1" ht="15" customHeight="1">
      <c r="A92" s="679">
        <v>23</v>
      </c>
      <c r="B92" s="1152" t="str">
        <f>Periode!B92</f>
        <v>Gregory de Graaf</v>
      </c>
      <c r="C92" s="374" t="str">
        <f>Periode!H92</f>
        <v>Bouw</v>
      </c>
      <c r="D92" s="663">
        <f>'WK22'!D92+'WK21'!D92+'WK23'!D92+'WK24'!D92</f>
        <v>18</v>
      </c>
      <c r="E92" s="664">
        <f>'WK22'!E92+'WK21'!E92+'WK23'!E92+'WK24'!E92</f>
        <v>128.5</v>
      </c>
      <c r="F92" s="664">
        <f>'WK22'!F92+'WK21'!F92+'WK23'!F92+'WK24'!F92</f>
        <v>0</v>
      </c>
      <c r="G92" s="664">
        <f>'WK22'!G92+'WK21'!G92+'WK23'!G92+'WK24'!G92</f>
        <v>0</v>
      </c>
      <c r="H92" s="663">
        <f>'WK22'!H92+'WK21'!H92+'WK23'!H92+'WK24'!H92</f>
        <v>0</v>
      </c>
      <c r="I92" s="663">
        <f>'WK22'!I92+'WK21'!I92+'WK23'!I92+'WK24'!I92</f>
        <v>4</v>
      </c>
      <c r="J92" s="664">
        <f>'WK22'!J92+'WK21'!J92+'WK23'!J92+'WK24'!J92</f>
        <v>8</v>
      </c>
      <c r="K92" s="453">
        <f>'WK22'!N92+'WK21'!N92+'WK23'!N92+'WK24'!N92</f>
        <v>0</v>
      </c>
      <c r="L92" s="206">
        <f>'WK22'!P92+'WK21'!P92+'WK23'!P92+'WK24'!P92</f>
        <v>0</v>
      </c>
      <c r="M92" s="206">
        <f>'WK22'!Q92+'WK21'!Q92+'WK23'!Q92</f>
        <v>1979.6615999999999</v>
      </c>
      <c r="N92" s="206">
        <f>'WK24'!Q92</f>
        <v>2586.6549</v>
      </c>
      <c r="O92" s="1188">
        <f>N92</f>
        <v>2586.6549</v>
      </c>
      <c r="P92" s="341"/>
      <c r="Q92" s="423">
        <f>(196.79+16.5)+(160.31+17.6)+(163.39+19.8)</f>
        <v>574.39</v>
      </c>
      <c r="R92" s="1129"/>
      <c r="S92" s="842"/>
    </row>
    <row r="93" spans="1:19" s="87" customFormat="1" ht="15" customHeight="1">
      <c r="A93" s="91"/>
      <c r="B93" s="5"/>
      <c r="C93" s="88"/>
      <c r="D93" s="231"/>
      <c r="E93" s="231"/>
      <c r="F93" s="625"/>
      <c r="G93" s="625"/>
      <c r="H93" s="231"/>
      <c r="I93" s="231"/>
      <c r="J93" s="625"/>
      <c r="K93" s="459"/>
      <c r="L93" s="107"/>
      <c r="M93" s="107"/>
      <c r="N93" s="105"/>
      <c r="O93" s="183"/>
      <c r="P93" s="187"/>
      <c r="Q93" s="219"/>
      <c r="R93" s="1130"/>
      <c r="S93" s="840"/>
    </row>
    <row r="94" spans="1:19" s="87" customFormat="1" ht="15" customHeight="1">
      <c r="A94" s="383"/>
      <c r="B94" s="135"/>
      <c r="C94" s="123"/>
      <c r="D94" s="359"/>
      <c r="E94" s="359"/>
      <c r="F94" s="656"/>
      <c r="G94" s="656"/>
      <c r="H94" s="359"/>
      <c r="I94" s="359"/>
      <c r="J94" s="656"/>
      <c r="K94" s="457"/>
      <c r="L94" s="124"/>
      <c r="M94" s="124"/>
      <c r="N94" s="349"/>
      <c r="O94" s="288"/>
      <c r="P94" s="698"/>
      <c r="Q94" s="699"/>
      <c r="R94" s="1132"/>
      <c r="S94" s="840"/>
    </row>
    <row r="95" spans="1:19" s="91" customFormat="1" ht="15" customHeight="1">
      <c r="A95" s="679"/>
      <c r="B95" s="374" t="str">
        <f>Periode!B95</f>
        <v>Joey Cuperus</v>
      </c>
      <c r="C95" s="374"/>
      <c r="D95" s="663"/>
      <c r="E95" s="664"/>
      <c r="F95" s="664"/>
      <c r="G95" s="664"/>
      <c r="H95" s="663"/>
      <c r="I95" s="663"/>
      <c r="J95" s="664"/>
      <c r="K95" s="453"/>
      <c r="L95" s="206"/>
      <c r="M95" s="206"/>
      <c r="N95" s="206"/>
      <c r="O95" s="173"/>
      <c r="P95" s="341"/>
      <c r="Q95" s="423"/>
      <c r="R95" s="1129">
        <f>5195-280-280-18.72-814.78</f>
        <v>3801.5</v>
      </c>
      <c r="S95" s="829" t="s">
        <v>400</v>
      </c>
    </row>
    <row r="96" spans="1:19" s="87" customFormat="1" ht="15" customHeight="1">
      <c r="A96" s="91"/>
      <c r="B96" s="5"/>
      <c r="C96" s="88"/>
      <c r="D96" s="231"/>
      <c r="E96" s="231"/>
      <c r="F96" s="625"/>
      <c r="G96" s="625"/>
      <c r="H96" s="231"/>
      <c r="I96" s="231"/>
      <c r="J96" s="625"/>
      <c r="K96" s="459"/>
      <c r="L96" s="107"/>
      <c r="M96" s="107"/>
      <c r="N96" s="105"/>
      <c r="O96" s="420"/>
      <c r="P96" s="341"/>
      <c r="Q96" s="219"/>
      <c r="R96" s="1130"/>
      <c r="S96" s="314"/>
    </row>
    <row r="97" spans="1:19" s="87" customFormat="1" ht="15" customHeight="1">
      <c r="A97" s="383"/>
      <c r="B97" s="135"/>
      <c r="C97" s="123"/>
      <c r="D97" s="359"/>
      <c r="E97" s="359"/>
      <c r="F97" s="656"/>
      <c r="G97" s="656"/>
      <c r="H97" s="359"/>
      <c r="I97" s="359"/>
      <c r="J97" s="656"/>
      <c r="K97" s="457"/>
      <c r="L97" s="124"/>
      <c r="M97" s="124"/>
      <c r="N97" s="349"/>
      <c r="O97" s="288"/>
      <c r="P97" s="698"/>
      <c r="Q97" s="699"/>
      <c r="R97" s="1132"/>
      <c r="S97" s="840"/>
    </row>
    <row r="98" spans="1:19" s="91" customFormat="1" ht="15" customHeight="1">
      <c r="A98" s="679"/>
      <c r="B98" s="401"/>
      <c r="C98" s="401"/>
      <c r="D98" s="801"/>
      <c r="E98" s="802"/>
      <c r="F98" s="802"/>
      <c r="G98" s="802"/>
      <c r="H98" s="801"/>
      <c r="I98" s="801"/>
      <c r="J98" s="802"/>
      <c r="K98" s="803"/>
      <c r="L98" s="804"/>
      <c r="M98" s="804"/>
      <c r="N98" s="804"/>
      <c r="O98" s="183"/>
      <c r="P98" s="718"/>
      <c r="Q98" s="718"/>
      <c r="R98" s="1138"/>
      <c r="S98" s="842"/>
    </row>
    <row r="99" spans="1:19" s="91" customFormat="1" ht="15" customHeight="1">
      <c r="A99" s="679">
        <v>24</v>
      </c>
      <c r="B99" s="1152" t="str">
        <f>Periode!B99</f>
        <v>Eric de Jong</v>
      </c>
      <c r="C99" s="374" t="str">
        <f>Periode!H99</f>
        <v>UTA</v>
      </c>
      <c r="D99" s="663">
        <f>'WK22'!D99+'WK21'!D99+'WK23'!D99+'WK24'!D99</f>
        <v>15</v>
      </c>
      <c r="E99" s="664">
        <f>'WK22'!E99+'WK21'!E99+'WK23'!E99+'WK24'!E99</f>
        <v>116.5</v>
      </c>
      <c r="F99" s="664">
        <f>'WK22'!F99+'WK21'!F99+'WK23'!F99+'WK24'!F99</f>
        <v>0</v>
      </c>
      <c r="G99" s="664">
        <f>'WK22'!G99+'WK21'!G99+'WK23'!G99+'WK24'!G99</f>
        <v>0</v>
      </c>
      <c r="H99" s="663">
        <f>'WK22'!H99+'WK21'!H99+'WK23'!H99+'WK24'!H99</f>
        <v>0</v>
      </c>
      <c r="I99" s="663">
        <f>'WK22'!I99+'WK21'!I99+'WK23'!I99+'WK24'!I99</f>
        <v>0</v>
      </c>
      <c r="J99" s="664">
        <f>'WK22'!J99+'WK21'!J99+'WK23'!J99+'WK24'!J99</f>
        <v>8</v>
      </c>
      <c r="K99" s="453">
        <f>'WK22'!N99+'WK21'!N99+'WK23'!N99+'WK24'!N99</f>
        <v>1410</v>
      </c>
      <c r="L99" s="206">
        <f>'WK22'!P99+'WK21'!P99+'WK23'!P99+'WK24'!P99</f>
        <v>0</v>
      </c>
      <c r="M99" s="206">
        <f>'WK22'!Q99+'WK21'!Q99+'WK23'!Q99</f>
        <v>2253.72858</v>
      </c>
      <c r="N99" s="206">
        <f>'WK24'!Q99</f>
        <v>954.90912500000002</v>
      </c>
      <c r="O99" s="173">
        <f t="shared" ref="O99" si="11">M99+N99</f>
        <v>3208.6377050000001</v>
      </c>
      <c r="P99" s="923"/>
      <c r="Q99" s="423">
        <f>(209.05+11)+(192.09+18.7)+(183+18.7)+(174.66+15.4)+(168.49+16.5)</f>
        <v>1007.5899999999999</v>
      </c>
      <c r="R99" s="1129"/>
      <c r="S99" s="842"/>
    </row>
    <row r="100" spans="1:19" s="87" customFormat="1" ht="15" customHeight="1">
      <c r="A100" s="383"/>
      <c r="B100" s="135"/>
      <c r="C100" s="123"/>
      <c r="D100" s="359"/>
      <c r="E100" s="359"/>
      <c r="F100" s="656"/>
      <c r="G100" s="656"/>
      <c r="H100" s="359"/>
      <c r="I100" s="359"/>
      <c r="J100" s="656"/>
      <c r="K100" s="457"/>
      <c r="L100" s="124"/>
      <c r="M100" s="124"/>
      <c r="N100" s="349"/>
      <c r="O100" s="288"/>
      <c r="P100" s="698"/>
      <c r="Q100" s="699"/>
      <c r="R100" s="1132"/>
      <c r="S100" s="840"/>
    </row>
    <row r="101" spans="1:19" s="87" customFormat="1" ht="15" customHeight="1">
      <c r="A101" s="924"/>
      <c r="B101" s="401"/>
      <c r="C101" s="401"/>
      <c r="D101" s="801"/>
      <c r="E101" s="802"/>
      <c r="F101" s="802"/>
      <c r="G101" s="802"/>
      <c r="H101" s="801"/>
      <c r="I101" s="801"/>
      <c r="J101" s="802"/>
      <c r="K101" s="803"/>
      <c r="L101" s="804"/>
      <c r="M101" s="804"/>
      <c r="N101" s="804"/>
      <c r="O101" s="183"/>
      <c r="P101" s="718"/>
      <c r="Q101" s="718"/>
      <c r="R101" s="1139"/>
      <c r="S101" s="845"/>
    </row>
    <row r="102" spans="1:19" s="87" customFormat="1" ht="15" customHeight="1">
      <c r="A102" s="91"/>
      <c r="B102" s="5"/>
      <c r="C102" s="88"/>
      <c r="D102" s="231"/>
      <c r="E102" s="231"/>
      <c r="F102" s="625"/>
      <c r="G102" s="625"/>
      <c r="H102" s="231"/>
      <c r="I102" s="231"/>
      <c r="J102" s="625"/>
      <c r="K102" s="459"/>
      <c r="L102" s="107"/>
      <c r="M102" s="107"/>
      <c r="N102" s="105"/>
      <c r="O102" s="183"/>
      <c r="P102" s="187"/>
      <c r="Q102" s="219"/>
      <c r="R102" s="1140"/>
      <c r="S102" s="840"/>
    </row>
    <row r="103" spans="1:19" s="87" customFormat="1" ht="15" customHeight="1">
      <c r="A103" s="383"/>
      <c r="B103" s="135"/>
      <c r="C103" s="123"/>
      <c r="D103" s="359"/>
      <c r="E103" s="359"/>
      <c r="F103" s="656"/>
      <c r="G103" s="656"/>
      <c r="H103" s="359"/>
      <c r="I103" s="359"/>
      <c r="J103" s="656"/>
      <c r="K103" s="457"/>
      <c r="L103" s="124"/>
      <c r="M103" s="124"/>
      <c r="N103" s="349"/>
      <c r="O103" s="288"/>
      <c r="P103" s="698"/>
      <c r="Q103" s="699"/>
      <c r="R103" s="1132"/>
      <c r="S103" s="840"/>
    </row>
    <row r="104" spans="1:19" s="91" customFormat="1" ht="15" customHeight="1">
      <c r="A104" s="679">
        <v>25</v>
      </c>
      <c r="B104" s="1152" t="str">
        <f>Periode!B104</f>
        <v>Michel van der Mark</v>
      </c>
      <c r="C104" s="374" t="str">
        <f>Periode!H104</f>
        <v>Bouw</v>
      </c>
      <c r="D104" s="663">
        <f>'WK22'!D104+'WK21'!D104+'WK23'!D104+'WK24'!D104</f>
        <v>14</v>
      </c>
      <c r="E104" s="664">
        <f>'WK22'!E104+'WK21'!E104+'WK23'!E104+'WK24'!E104</f>
        <v>112</v>
      </c>
      <c r="F104" s="664">
        <f>'WK22'!F104+'WK21'!F104+'WK23'!F104+'WK24'!F104</f>
        <v>0</v>
      </c>
      <c r="G104" s="664">
        <f>'WK22'!G104+'WK21'!G104+'WK23'!G104+'WK24'!G104</f>
        <v>28.8</v>
      </c>
      <c r="H104" s="663">
        <f>'WK22'!H104+'WK21'!H104+'WK23'!H104+'WK24'!H104</f>
        <v>0</v>
      </c>
      <c r="I104" s="663">
        <f>'WK22'!I104+'WK21'!I104+'WK23'!I104+'WK24'!I104</f>
        <v>0</v>
      </c>
      <c r="J104" s="664">
        <f>'WK22'!J104+'WK21'!J104+'WK23'!J104+'WK24'!J104</f>
        <v>8</v>
      </c>
      <c r="K104" s="453">
        <f>'WK22'!N104+'WK21'!N104+'WK23'!N104+'WK24'!N104</f>
        <v>0</v>
      </c>
      <c r="L104" s="206">
        <f>'WK22'!P104+'WK21'!P104+'WK23'!P104+'WK24'!P104</f>
        <v>0</v>
      </c>
      <c r="M104" s="206">
        <f>'WK22'!Q104+'WK21'!Q104+'WK23'!Q104</f>
        <v>1896.9380639999999</v>
      </c>
      <c r="N104" s="206">
        <f>'WK24'!Q104</f>
        <v>705.18</v>
      </c>
      <c r="O104" s="173">
        <f t="shared" ref="O104" si="12">M104+N104</f>
        <v>2602.1180639999998</v>
      </c>
      <c r="P104" s="341"/>
      <c r="Q104" s="423">
        <f>(255.77+15.4)+(234.46+20.9)+(172.32+17.6)+(178.18+19.8)+(153.5+18.7)+(150.72+15.4)</f>
        <v>1252.75</v>
      </c>
      <c r="R104" s="1129"/>
      <c r="S104" s="1197"/>
    </row>
    <row r="105" spans="1:19" s="87" customFormat="1" ht="15" customHeight="1">
      <c r="A105" s="91"/>
      <c r="B105" s="5"/>
      <c r="C105" s="88"/>
      <c r="D105" s="231"/>
      <c r="E105" s="231"/>
      <c r="F105" s="625"/>
      <c r="G105" s="625"/>
      <c r="H105" s="231"/>
      <c r="I105" s="231"/>
      <c r="J105" s="625"/>
      <c r="K105" s="459"/>
      <c r="L105" s="107"/>
      <c r="M105" s="107"/>
      <c r="N105" s="105"/>
      <c r="O105" s="420"/>
      <c r="P105" s="341"/>
      <c r="Q105" s="219"/>
      <c r="R105" s="1130"/>
      <c r="S105" s="840"/>
    </row>
    <row r="106" spans="1:19" s="87" customFormat="1" ht="15" customHeight="1">
      <c r="A106" s="383"/>
      <c r="B106" s="135"/>
      <c r="C106" s="123"/>
      <c r="D106" s="359"/>
      <c r="E106" s="359"/>
      <c r="F106" s="656"/>
      <c r="G106" s="656"/>
      <c r="H106" s="359"/>
      <c r="I106" s="359"/>
      <c r="J106" s="656"/>
      <c r="K106" s="457"/>
      <c r="L106" s="124"/>
      <c r="M106" s="124"/>
      <c r="N106" s="349"/>
      <c r="O106" s="288"/>
      <c r="P106" s="698"/>
      <c r="Q106" s="699"/>
      <c r="R106" s="1132"/>
      <c r="S106" s="840"/>
    </row>
    <row r="107" spans="1:19" s="91" customFormat="1" ht="15" customHeight="1">
      <c r="A107" s="679"/>
      <c r="B107" s="1152"/>
      <c r="C107" s="374"/>
      <c r="D107" s="663"/>
      <c r="E107" s="664"/>
      <c r="F107" s="664"/>
      <c r="G107" s="664"/>
      <c r="H107" s="663"/>
      <c r="I107" s="663"/>
      <c r="J107" s="664"/>
      <c r="K107" s="453"/>
      <c r="L107" s="206"/>
      <c r="M107" s="206"/>
      <c r="N107" s="206"/>
      <c r="O107" s="173"/>
      <c r="P107" s="341"/>
      <c r="Q107" s="423"/>
      <c r="R107" s="1129"/>
      <c r="S107" s="842"/>
    </row>
    <row r="108" spans="1:19" s="87" customFormat="1" ht="15" customHeight="1">
      <c r="A108" s="91"/>
      <c r="B108" s="5"/>
      <c r="C108" s="88"/>
      <c r="D108" s="231"/>
      <c r="E108" s="231"/>
      <c r="F108" s="625"/>
      <c r="G108" s="625"/>
      <c r="H108" s="231"/>
      <c r="I108" s="231"/>
      <c r="J108" s="625"/>
      <c r="K108" s="459"/>
      <c r="L108" s="107"/>
      <c r="M108" s="107"/>
      <c r="N108" s="105"/>
      <c r="O108" s="183"/>
      <c r="P108" s="187"/>
      <c r="Q108" s="219"/>
      <c r="R108" s="1130"/>
      <c r="S108" s="840"/>
    </row>
    <row r="109" spans="1:19" s="87" customFormat="1" ht="15" customHeight="1">
      <c r="A109" s="383"/>
      <c r="B109" s="135"/>
      <c r="C109" s="123"/>
      <c r="D109" s="359"/>
      <c r="E109" s="359"/>
      <c r="F109" s="656"/>
      <c r="G109" s="656"/>
      <c r="H109" s="359"/>
      <c r="I109" s="359"/>
      <c r="J109" s="656"/>
      <c r="K109" s="457"/>
      <c r="L109" s="124"/>
      <c r="M109" s="124"/>
      <c r="N109" s="349"/>
      <c r="O109" s="288"/>
      <c r="P109" s="698"/>
      <c r="Q109" s="699"/>
      <c r="R109" s="1132"/>
      <c r="S109" s="840"/>
    </row>
    <row r="110" spans="1:19" s="91" customFormat="1" ht="15" customHeight="1">
      <c r="A110" s="679">
        <v>26</v>
      </c>
      <c r="B110" s="1152" t="str">
        <f>Periode!B110</f>
        <v>Jan Harteveld</v>
      </c>
      <c r="C110" s="374" t="str">
        <f>Periode!H110</f>
        <v>Bouw</v>
      </c>
      <c r="D110" s="663">
        <f>'WK22'!D110+'WK21'!D110+'WK23'!D110+'WK24'!D110</f>
        <v>19</v>
      </c>
      <c r="E110" s="664">
        <f>'WK22'!E110+'WK21'!E110+'WK23'!E110+'WK24'!E110</f>
        <v>141</v>
      </c>
      <c r="F110" s="664">
        <f>'WK22'!F110+'WK21'!F110+'WK23'!F110+'WK24'!F110</f>
        <v>2.5</v>
      </c>
      <c r="G110" s="664">
        <f>'WK22'!G110+'WK21'!G110+'WK23'!G110+'WK24'!G110</f>
        <v>0</v>
      </c>
      <c r="H110" s="663">
        <f>'WK22'!H110+'WK21'!H110+'WK23'!H110+'WK24'!H110</f>
        <v>0</v>
      </c>
      <c r="I110" s="663">
        <f>'WK22'!I110+'WK21'!I110+'WK23'!I110+'WK24'!I110</f>
        <v>0</v>
      </c>
      <c r="J110" s="664">
        <f>'WK22'!J110+'WK21'!J110+'WK23'!J110+'WK24'!J110</f>
        <v>6.5</v>
      </c>
      <c r="K110" s="453">
        <f>'WK22'!N110+'WK21'!N110+'WK23'!N110+'WK24'!N110</f>
        <v>532</v>
      </c>
      <c r="L110" s="206">
        <f>'WK22'!P110+'WK21'!P110+'WK23'!P110+'WK24'!P110</f>
        <v>2.8000000000000003</v>
      </c>
      <c r="M110" s="206">
        <f>'WK22'!Q110+'WK21'!Q110+'WK23'!Q110</f>
        <v>2324.9947624999995</v>
      </c>
      <c r="N110" s="206">
        <f>'WK24'!Q110</f>
        <v>778.76562499999989</v>
      </c>
      <c r="O110" s="173">
        <f t="shared" ref="O110" si="13">M110+N110</f>
        <v>3103.7603874999995</v>
      </c>
      <c r="P110" s="341"/>
      <c r="Q110" s="423">
        <f>(186.17+16.5)+(183.06+18.7)+(99.92+20.9)+(159.61+19.8)+(13.2)+(118.67+20.9)</f>
        <v>857.43000000000006</v>
      </c>
      <c r="R110" s="1129">
        <f>-25.06+25.06</f>
        <v>0</v>
      </c>
      <c r="S110" s="842"/>
    </row>
    <row r="111" spans="1:19" s="87" customFormat="1" ht="15" customHeight="1">
      <c r="A111" s="91"/>
      <c r="B111" s="5"/>
      <c r="C111" s="88"/>
      <c r="D111" s="231"/>
      <c r="E111" s="231"/>
      <c r="F111" s="625"/>
      <c r="G111" s="625"/>
      <c r="H111" s="231"/>
      <c r="I111" s="231"/>
      <c r="J111" s="625"/>
      <c r="K111" s="459"/>
      <c r="L111" s="107"/>
      <c r="M111" s="107"/>
      <c r="N111" s="105"/>
      <c r="O111" s="183"/>
      <c r="P111" s="187"/>
      <c r="Q111" s="219"/>
      <c r="R111" s="1130"/>
      <c r="S111" s="840"/>
    </row>
    <row r="112" spans="1:19" s="87" customFormat="1" ht="15" customHeight="1">
      <c r="A112" s="383"/>
      <c r="B112" s="135"/>
      <c r="C112" s="123"/>
      <c r="D112" s="359"/>
      <c r="E112" s="359"/>
      <c r="F112" s="656"/>
      <c r="G112" s="656"/>
      <c r="H112" s="359"/>
      <c r="I112" s="359"/>
      <c r="J112" s="656"/>
      <c r="K112" s="457"/>
      <c r="L112" s="124"/>
      <c r="M112" s="124"/>
      <c r="N112" s="349"/>
      <c r="O112" s="288"/>
      <c r="P112" s="698"/>
      <c r="Q112" s="699"/>
      <c r="R112" s="1132"/>
      <c r="S112" s="840"/>
    </row>
    <row r="113" spans="1:19" s="934" customFormat="1" ht="15" customHeight="1">
      <c r="A113" s="925"/>
      <c r="B113" s="926"/>
      <c r="C113" s="926"/>
      <c r="D113" s="927"/>
      <c r="E113" s="928"/>
      <c r="F113" s="928"/>
      <c r="G113" s="928"/>
      <c r="H113" s="927"/>
      <c r="I113" s="927"/>
      <c r="J113" s="928"/>
      <c r="K113" s="929"/>
      <c r="L113" s="930"/>
      <c r="M113" s="930"/>
      <c r="N113" s="930"/>
      <c r="O113" s="931"/>
      <c r="P113" s="932"/>
      <c r="Q113" s="932"/>
      <c r="R113" s="1141"/>
      <c r="S113" s="933"/>
    </row>
    <row r="114" spans="1:19" s="87" customFormat="1" ht="15" customHeight="1">
      <c r="A114" s="91"/>
      <c r="B114" s="5"/>
      <c r="C114" s="88"/>
      <c r="D114" s="231"/>
      <c r="E114" s="231"/>
      <c r="F114" s="625"/>
      <c r="G114" s="625"/>
      <c r="H114" s="231"/>
      <c r="I114" s="231"/>
      <c r="J114" s="625"/>
      <c r="K114" s="459"/>
      <c r="L114" s="107"/>
      <c r="M114" s="107"/>
      <c r="N114" s="105"/>
      <c r="O114" s="183"/>
      <c r="P114" s="187"/>
      <c r="Q114" s="219"/>
      <c r="R114" s="1130"/>
      <c r="S114" s="840"/>
    </row>
    <row r="115" spans="1:19" s="87" customFormat="1" ht="15" customHeight="1">
      <c r="A115" s="383"/>
      <c r="B115" s="135"/>
      <c r="C115" s="123"/>
      <c r="D115" s="359"/>
      <c r="E115" s="359"/>
      <c r="F115" s="656"/>
      <c r="G115" s="656"/>
      <c r="H115" s="359"/>
      <c r="I115" s="359"/>
      <c r="J115" s="656"/>
      <c r="K115" s="457"/>
      <c r="L115" s="124"/>
      <c r="M115" s="124"/>
      <c r="N115" s="349"/>
      <c r="O115" s="288"/>
      <c r="P115" s="698"/>
      <c r="Q115" s="699"/>
      <c r="R115" s="1132"/>
      <c r="S115" s="840"/>
    </row>
    <row r="116" spans="1:19" s="91" customFormat="1" ht="15" customHeight="1">
      <c r="A116" s="679">
        <v>27</v>
      </c>
      <c r="B116" s="1152" t="str">
        <f>Periode!B116</f>
        <v>Asanty Raafenberg</v>
      </c>
      <c r="C116" s="374" t="str">
        <f>Periode!H116</f>
        <v>Bouw</v>
      </c>
      <c r="D116" s="663">
        <f>'WK22'!D116+'WK21'!D116+'WK23'!D116+'WK24'!D116</f>
        <v>15</v>
      </c>
      <c r="E116" s="664">
        <f>'WK22'!E116+'WK21'!E116+'WK23'!E116+'WK24'!E116</f>
        <v>120</v>
      </c>
      <c r="F116" s="664">
        <f>'WK22'!F116+'WK21'!F116+'WK23'!F116+'WK24'!F116</f>
        <v>0</v>
      </c>
      <c r="G116" s="664">
        <f>'WK22'!G116+'WK21'!G116+'WK23'!G116+'WK24'!G116</f>
        <v>0</v>
      </c>
      <c r="H116" s="663">
        <f>'WK22'!H116+'WK21'!H116+'WK23'!H116+'WK24'!H116</f>
        <v>0</v>
      </c>
      <c r="I116" s="663">
        <f>'WK22'!I116+'WK21'!I116+'WK23'!I116+'WK24'!I116</f>
        <v>0</v>
      </c>
      <c r="J116" s="664">
        <f>'WK22'!J116+'WK21'!J116+'WK23'!J116+'WK24'!J116</f>
        <v>8</v>
      </c>
      <c r="K116" s="453">
        <f>'WK22'!N116+'WK21'!N116+'WK23'!N116+'WK24'!N116</f>
        <v>0</v>
      </c>
      <c r="L116" s="206">
        <f>'WK22'!P116+'WK21'!P116+'WK23'!P116+'WK24'!P116</f>
        <v>-80.819999999999993</v>
      </c>
      <c r="M116" s="206">
        <f>'WK22'!Q116+'WK21'!Q116+'WK23'!Q116</f>
        <v>1368.23804</v>
      </c>
      <c r="N116" s="206">
        <f>'WK24'!Q116</f>
        <v>2028.5180399999999</v>
      </c>
      <c r="O116" s="970">
        <f>N116</f>
        <v>2028.5180399999999</v>
      </c>
      <c r="P116" s="341"/>
      <c r="Q116" s="423">
        <f>(232.68+15.4)+(180.73+19.8)+(192.61+19.8)+(155.45+20.9)+(176.83+17.6)+(20.63+16.5)</f>
        <v>1068.9299999999998</v>
      </c>
      <c r="R116" s="1129"/>
      <c r="S116" s="965"/>
    </row>
    <row r="117" spans="1:19" s="246" customFormat="1" ht="15" customHeight="1">
      <c r="A117" s="821"/>
      <c r="B117" s="374"/>
      <c r="C117" s="466"/>
      <c r="D117" s="822"/>
      <c r="E117" s="823"/>
      <c r="F117" s="823"/>
      <c r="G117" s="823"/>
      <c r="H117" s="822"/>
      <c r="I117" s="822"/>
      <c r="J117" s="823"/>
      <c r="K117" s="605"/>
      <c r="L117" s="253"/>
      <c r="M117" s="253"/>
      <c r="N117" s="253"/>
      <c r="O117" s="148"/>
      <c r="P117" s="394"/>
      <c r="Q117" s="394"/>
      <c r="R117" s="1135"/>
      <c r="S117" s="847"/>
    </row>
    <row r="118" spans="1:19" s="87" customFormat="1" ht="15" customHeight="1">
      <c r="A118" s="383"/>
      <c r="B118" s="135"/>
      <c r="C118" s="123"/>
      <c r="D118" s="359"/>
      <c r="E118" s="359"/>
      <c r="F118" s="656"/>
      <c r="G118" s="656"/>
      <c r="H118" s="359"/>
      <c r="I118" s="359"/>
      <c r="J118" s="656"/>
      <c r="K118" s="457"/>
      <c r="L118" s="124"/>
      <c r="M118" s="124"/>
      <c r="N118" s="349"/>
      <c r="O118" s="288"/>
      <c r="P118" s="698"/>
      <c r="Q118" s="699"/>
      <c r="R118" s="1132"/>
      <c r="S118" s="840"/>
    </row>
    <row r="119" spans="1:19" s="91" customFormat="1" ht="15" customHeight="1">
      <c r="A119" s="679">
        <v>28</v>
      </c>
      <c r="B119" s="1152" t="str">
        <f>Periode!B119</f>
        <v>Patrick Serlier</v>
      </c>
      <c r="C119" s="374" t="str">
        <f>Periode!H119</f>
        <v>Bouw</v>
      </c>
      <c r="D119" s="663">
        <f>'WK22'!D119+'WK21'!D119+'WK23'!D119+'WK24'!D119</f>
        <v>19</v>
      </c>
      <c r="E119" s="664">
        <f>'WK22'!E119+'WK21'!E119+'WK23'!E119+'WK24'!E119</f>
        <v>151</v>
      </c>
      <c r="F119" s="664">
        <f>'WK22'!F119+'WK21'!F119+'WK23'!F119+'WK24'!F119</f>
        <v>0</v>
      </c>
      <c r="G119" s="664">
        <f>'WK22'!G119+'WK21'!G119+'WK23'!G119+'WK24'!G119</f>
        <v>0</v>
      </c>
      <c r="H119" s="663">
        <f>'WK22'!H119+'WK21'!H119+'WK23'!H119+'WK24'!H119</f>
        <v>0</v>
      </c>
      <c r="I119" s="663">
        <f>'WK22'!I119+'WK21'!I119+'WK23'!I119+'WK24'!I119</f>
        <v>0</v>
      </c>
      <c r="J119" s="664">
        <f>'WK22'!J119+'WK21'!J119+'WK23'!J119+'WK24'!J119</f>
        <v>8</v>
      </c>
      <c r="K119" s="453">
        <f>'WK22'!N119+'WK21'!N119+'WK23'!N119+'WK24'!N119</f>
        <v>0</v>
      </c>
      <c r="L119" s="206">
        <f>'WK22'!P119+'WK21'!P119+'WK23'!P119+'WK24'!P119</f>
        <v>0</v>
      </c>
      <c r="M119" s="206">
        <f>'WK22'!Q119+'WK21'!Q119+'WK23'!Q119</f>
        <v>2021.8712600000001</v>
      </c>
      <c r="N119" s="206">
        <f>'WK24'!Q119</f>
        <v>658.58325000000002</v>
      </c>
      <c r="O119" s="173">
        <f t="shared" ref="O119" si="14">M119+N119</f>
        <v>2680.45451</v>
      </c>
      <c r="P119" s="220"/>
      <c r="Q119" s="423">
        <f>(14.3)+(29.72+22)+(20.41+22)+(20.21+20.9)+(24.78+18.7)+(15.09+20.9)</f>
        <v>229.01</v>
      </c>
      <c r="R119" s="1129">
        <f>-42.91+42.91</f>
        <v>0</v>
      </c>
      <c r="S119" s="842"/>
    </row>
    <row r="120" spans="1:19" s="87" customFormat="1" ht="15" customHeight="1">
      <c r="A120" s="91"/>
      <c r="B120" s="1152"/>
      <c r="C120" s="88"/>
      <c r="D120" s="231"/>
      <c r="E120" s="231"/>
      <c r="F120" s="625"/>
      <c r="G120" s="625"/>
      <c r="H120" s="231"/>
      <c r="I120" s="231"/>
      <c r="J120" s="625"/>
      <c r="K120" s="459"/>
      <c r="L120" s="107"/>
      <c r="M120" s="107"/>
      <c r="N120" s="105"/>
      <c r="O120" s="420"/>
      <c r="P120" s="220"/>
      <c r="Q120" s="219"/>
      <c r="R120" s="1130"/>
      <c r="S120" s="840"/>
    </row>
    <row r="121" spans="1:19" s="87" customFormat="1" ht="15" customHeight="1">
      <c r="A121" s="383"/>
      <c r="B121" s="135"/>
      <c r="C121" s="123"/>
      <c r="D121" s="359"/>
      <c r="E121" s="359"/>
      <c r="F121" s="656"/>
      <c r="G121" s="656"/>
      <c r="H121" s="359"/>
      <c r="I121" s="359"/>
      <c r="J121" s="656"/>
      <c r="K121" s="457"/>
      <c r="L121" s="124"/>
      <c r="M121" s="124"/>
      <c r="N121" s="349"/>
      <c r="O121" s="288"/>
      <c r="P121" s="360"/>
      <c r="Q121" s="699"/>
      <c r="R121" s="1132"/>
      <c r="S121" s="840"/>
    </row>
    <row r="122" spans="1:19" s="87" customFormat="1" ht="15" customHeight="1">
      <c r="A122" s="91"/>
      <c r="B122" s="5"/>
      <c r="C122" s="88"/>
      <c r="D122" s="231"/>
      <c r="E122" s="231"/>
      <c r="F122" s="625"/>
      <c r="G122" s="625"/>
      <c r="H122" s="231"/>
      <c r="I122" s="231"/>
      <c r="J122" s="625"/>
      <c r="K122" s="459"/>
      <c r="L122" s="107"/>
      <c r="M122" s="107"/>
      <c r="N122" s="105"/>
      <c r="O122" s="183"/>
      <c r="P122" s="187"/>
      <c r="Q122" s="219"/>
      <c r="R122" s="1130"/>
      <c r="S122" s="840"/>
    </row>
    <row r="123" spans="1:19" s="91" customFormat="1" ht="15" customHeight="1">
      <c r="A123" s="679">
        <v>29</v>
      </c>
      <c r="B123" s="1152" t="str">
        <f>Periode!B123</f>
        <v>Pieter van Houwelingen</v>
      </c>
      <c r="C123" s="374" t="str">
        <f>Periode!H123</f>
        <v>UTA</v>
      </c>
      <c r="D123" s="663">
        <f>'WK22'!D123+'WK21'!D123+'WK23'!D123+'WK24'!D123</f>
        <v>18</v>
      </c>
      <c r="E123" s="664">
        <f>'WK22'!E123+'WK21'!E123+'WK23'!E123+'WK24'!E123</f>
        <v>138</v>
      </c>
      <c r="F123" s="664">
        <f>'WK22'!F123+'WK21'!F123+'WK23'!F123+'WK24'!F123</f>
        <v>0</v>
      </c>
      <c r="G123" s="664">
        <f>'WK22'!G123+'WK21'!G123+'WK23'!G123+'WK24'!G123</f>
        <v>0</v>
      </c>
      <c r="H123" s="663">
        <f>'WK22'!H123+'WK21'!H123+'WK23'!H123+'WK24'!H123</f>
        <v>6</v>
      </c>
      <c r="I123" s="663">
        <f>'WK22'!I123+'WK21'!I123+'WK23'!I123+'WK24'!I123</f>
        <v>0</v>
      </c>
      <c r="J123" s="664">
        <f>'WK22'!J123+'WK21'!J123+'WK23'!J123+'WK24'!J123</f>
        <v>8</v>
      </c>
      <c r="K123" s="453">
        <f>'WK22'!N123+'WK21'!N123+'WK23'!N123+'WK24'!N123</f>
        <v>1170</v>
      </c>
      <c r="L123" s="206">
        <f>'WK22'!P123+'WK21'!P123+'WK23'!P123+'WK24'!P123</f>
        <v>6.5</v>
      </c>
      <c r="M123" s="206">
        <f>'WK22'!Q123+'WK21'!Q123+'WK23'!Q123</f>
        <v>3198.5363775000005</v>
      </c>
      <c r="N123" s="206">
        <f>'WK24'!Q123</f>
        <v>1079.5432500000002</v>
      </c>
      <c r="O123" s="173">
        <f t="shared" ref="O123" si="15">M123+N123</f>
        <v>4278.0796275000012</v>
      </c>
      <c r="P123" s="923" t="s">
        <v>376</v>
      </c>
      <c r="Q123" s="423">
        <f>(242.62+16.5)+(202.61+22)+(186.43+20.9)+(175.52+19.8)+(199.77+18.7)+(132.44+19.8)</f>
        <v>1257.0900000000001</v>
      </c>
      <c r="R123" s="1129"/>
      <c r="S123" s="842"/>
    </row>
    <row r="124" spans="1:19" s="87" customFormat="1" ht="15" customHeight="1">
      <c r="A124" s="383"/>
      <c r="B124" s="135"/>
      <c r="C124" s="123"/>
      <c r="D124" s="359"/>
      <c r="E124" s="359"/>
      <c r="F124" s="656"/>
      <c r="G124" s="656"/>
      <c r="H124" s="359"/>
      <c r="I124" s="359"/>
      <c r="J124" s="656"/>
      <c r="K124" s="457"/>
      <c r="L124" s="124"/>
      <c r="M124" s="124"/>
      <c r="N124" s="349"/>
      <c r="O124" s="288"/>
      <c r="P124" s="698"/>
      <c r="Q124" s="699"/>
      <c r="R124" s="1132"/>
      <c r="S124" s="840"/>
    </row>
    <row r="125" spans="1:19" s="91" customFormat="1" ht="15" customHeight="1">
      <c r="A125" s="679">
        <v>30</v>
      </c>
      <c r="B125" s="1152" t="str">
        <f>Periode!B125</f>
        <v>John van der Wel</v>
      </c>
      <c r="C125" s="374" t="str">
        <f>Periode!H125</f>
        <v>Bouw</v>
      </c>
      <c r="D125" s="663">
        <f>'WK22'!D125+'WK21'!D125+'WK23'!D125+'WK24'!D125</f>
        <v>18</v>
      </c>
      <c r="E125" s="664">
        <f>'WK22'!E125+'WK21'!E125+'WK23'!E125+'WK24'!E125</f>
        <v>141.5</v>
      </c>
      <c r="F125" s="664">
        <f>'WK22'!F125+'WK21'!F125+'WK23'!F125+'WK24'!F125</f>
        <v>0</v>
      </c>
      <c r="G125" s="664">
        <f>'WK22'!G125+'WK21'!G125+'WK23'!G125+'WK24'!G125</f>
        <v>0</v>
      </c>
      <c r="H125" s="663">
        <f>'WK22'!H125+'WK21'!H125+'WK23'!H125+'WK24'!H125</f>
        <v>0</v>
      </c>
      <c r="I125" s="663">
        <f>'WK22'!I125+'WK21'!I125+'WK23'!I125+'WK24'!I125</f>
        <v>0</v>
      </c>
      <c r="J125" s="664">
        <f>'WK22'!J125+'WK21'!J125+'WK23'!J125+'WK24'!J125</f>
        <v>8</v>
      </c>
      <c r="K125" s="453">
        <f>'WK22'!N125+'WK21'!N125+'WK23'!N125+'WK24'!N125</f>
        <v>0</v>
      </c>
      <c r="L125" s="206">
        <f>'WK22'!P125+'WK21'!P125+'WK23'!P125+'WK24'!P125</f>
        <v>-260.24</v>
      </c>
      <c r="M125" s="206">
        <f>'WK22'!Q125+'WK21'!Q125+'WK23'!Q125</f>
        <v>1569.6608900000001</v>
      </c>
      <c r="N125" s="206">
        <f>'WK24'!Q125</f>
        <v>580.92000000000007</v>
      </c>
      <c r="O125" s="173">
        <f t="shared" ref="O125" si="16">M125+N125</f>
        <v>2150.5808900000002</v>
      </c>
      <c r="P125" s="341" t="s">
        <v>163</v>
      </c>
      <c r="Q125" s="423">
        <f>(85.82+9.9)+(17.6)+(19.8)</f>
        <v>133.12</v>
      </c>
      <c r="R125" s="1129">
        <f>-28.59+26.24</f>
        <v>-2.3500000000000014</v>
      </c>
      <c r="S125" s="842"/>
    </row>
    <row r="126" spans="1:19" s="934" customFormat="1" ht="15" customHeight="1">
      <c r="A126" s="925"/>
      <c r="B126" s="926"/>
      <c r="C126" s="926"/>
      <c r="D126" s="927"/>
      <c r="E126" s="928"/>
      <c r="F126" s="928"/>
      <c r="G126" s="928"/>
      <c r="H126" s="927"/>
      <c r="I126" s="927"/>
      <c r="J126" s="928"/>
      <c r="K126" s="929"/>
      <c r="L126" s="930"/>
      <c r="M126" s="930"/>
      <c r="N126" s="930"/>
      <c r="O126" s="931">
        <f>'WK24'!Q124</f>
        <v>0</v>
      </c>
      <c r="P126" s="341">
        <f>O125+O126</f>
        <v>2150.5808900000002</v>
      </c>
      <c r="Q126" s="932"/>
      <c r="R126" s="1141"/>
      <c r="S126" s="933"/>
    </row>
    <row r="127" spans="1:19" s="87" customFormat="1" ht="15" customHeight="1">
      <c r="A127" s="383"/>
      <c r="B127" s="135"/>
      <c r="C127" s="123"/>
      <c r="D127" s="359"/>
      <c r="E127" s="359"/>
      <c r="F127" s="656"/>
      <c r="G127" s="656"/>
      <c r="H127" s="359"/>
      <c r="I127" s="359"/>
      <c r="J127" s="656"/>
      <c r="K127" s="457"/>
      <c r="L127" s="124"/>
      <c r="M127" s="124"/>
      <c r="N127" s="349"/>
      <c r="O127" s="288"/>
      <c r="P127" s="698"/>
      <c r="Q127" s="699"/>
      <c r="R127" s="1132"/>
      <c r="S127" s="840"/>
    </row>
    <row r="128" spans="1:19" s="87" customFormat="1" ht="15" customHeight="1">
      <c r="A128" s="91"/>
      <c r="B128" s="5"/>
      <c r="C128" s="88"/>
      <c r="D128" s="231"/>
      <c r="E128" s="231"/>
      <c r="F128" s="625"/>
      <c r="G128" s="625"/>
      <c r="H128" s="231"/>
      <c r="I128" s="231"/>
      <c r="J128" s="625"/>
      <c r="K128" s="459"/>
      <c r="L128" s="107"/>
      <c r="M128" s="107"/>
      <c r="N128" s="105"/>
      <c r="O128" s="183"/>
      <c r="P128" s="187"/>
      <c r="Q128" s="219"/>
      <c r="R128" s="1130"/>
      <c r="S128" s="840"/>
    </row>
    <row r="129" spans="1:19" s="91" customFormat="1" ht="15" customHeight="1">
      <c r="A129" s="679">
        <v>31</v>
      </c>
      <c r="B129" s="1152" t="str">
        <f>Periode!B129</f>
        <v>Marcel Spruijt</v>
      </c>
      <c r="C129" s="374" t="str">
        <f>Periode!H129</f>
        <v>UTA</v>
      </c>
      <c r="D129" s="663">
        <f>'WK22'!D129+'WK21'!D129+'WK23'!D129+'WK24'!D129</f>
        <v>19</v>
      </c>
      <c r="E129" s="664">
        <f>'WK22'!E129+'WK21'!E129+'WK23'!E129+'WK24'!E129</f>
        <v>152</v>
      </c>
      <c r="F129" s="664">
        <f>'WK22'!F129+'WK21'!F129+'WK23'!F129+'WK24'!F129</f>
        <v>0</v>
      </c>
      <c r="G129" s="664">
        <f>'WK22'!G129+'WK21'!G129+'WK23'!G129+'WK24'!G129</f>
        <v>0</v>
      </c>
      <c r="H129" s="663">
        <f>'WK22'!H129+'WK21'!H129+'WK23'!H129+'WK24'!H129</f>
        <v>0</v>
      </c>
      <c r="I129" s="663">
        <f>'WK22'!I129+'WK21'!I129+'WK23'!I129+'WK24'!I129</f>
        <v>0</v>
      </c>
      <c r="J129" s="664">
        <f>'WK22'!J129+'WK21'!J129+'WK23'!J129+'WK24'!J129</f>
        <v>8</v>
      </c>
      <c r="K129" s="453">
        <f>'WK22'!N129+'WK21'!N129+'WK23'!N129+'WK24'!N129</f>
        <v>0</v>
      </c>
      <c r="L129" s="206">
        <f>'WK22'!P129+'WK21'!P129+'WK23'!P129+'WK24'!P129</f>
        <v>-21.14</v>
      </c>
      <c r="M129" s="206">
        <f>'WK22'!Q129+'WK21'!Q129+'WK23'!Q129</f>
        <v>2222.1977960000004</v>
      </c>
      <c r="N129" s="206">
        <f>'WK24'!Q129</f>
        <v>751.94</v>
      </c>
      <c r="O129" s="173">
        <f t="shared" ref="O129" si="17">M129+N129</f>
        <v>2974.1377960000004</v>
      </c>
      <c r="P129" s="341"/>
      <c r="Q129" s="423">
        <f>(238.52+16.5)+(175.49+22)+(121.83+20.9)+(161.76+20.9)+(191.92+17.6)+(156.12+20.9)</f>
        <v>1164.44</v>
      </c>
      <c r="R129" s="1129"/>
      <c r="S129" s="842"/>
    </row>
    <row r="130" spans="1:19" s="87" customFormat="1" ht="15" customHeight="1">
      <c r="A130" s="383"/>
      <c r="B130" s="135"/>
      <c r="C130" s="123"/>
      <c r="D130" s="359"/>
      <c r="E130" s="359"/>
      <c r="F130" s="656"/>
      <c r="G130" s="656"/>
      <c r="H130" s="359"/>
      <c r="I130" s="359"/>
      <c r="J130" s="656"/>
      <c r="K130" s="457"/>
      <c r="L130" s="124"/>
      <c r="M130" s="124"/>
      <c r="N130" s="349"/>
      <c r="O130" s="288"/>
      <c r="P130" s="698"/>
      <c r="Q130" s="699"/>
      <c r="R130" s="1132"/>
      <c r="S130" s="840"/>
    </row>
    <row r="131" spans="1:19" s="91" customFormat="1" ht="15" customHeight="1">
      <c r="A131" s="679">
        <v>32</v>
      </c>
      <c r="B131" s="1152" t="str">
        <f>Periode!B131</f>
        <v>Michael Windhorst</v>
      </c>
      <c r="C131" s="374" t="str">
        <f>Periode!H131</f>
        <v>Bouw</v>
      </c>
      <c r="D131" s="663">
        <f>'WK22'!D131+'WK21'!D131+'WK23'!D131+'WK24'!D131</f>
        <v>17</v>
      </c>
      <c r="E131" s="664">
        <f>'WK22'!E131+'WK21'!E131+'WK23'!E131+'WK24'!E131</f>
        <v>132</v>
      </c>
      <c r="F131" s="664">
        <f>'WK22'!F131+'WK21'!F131+'WK23'!F131+'WK24'!F131</f>
        <v>12.24</v>
      </c>
      <c r="G131" s="664">
        <f>'WK22'!G131+'WK21'!G131+'WK23'!G131+'WK24'!G131</f>
        <v>0</v>
      </c>
      <c r="H131" s="663">
        <f>'WK22'!H131+'WK21'!H131+'WK23'!H131+'WK24'!H131</f>
        <v>0</v>
      </c>
      <c r="I131" s="663">
        <f>'WK22'!I131+'WK21'!I131+'WK23'!I131+'WK24'!I131</f>
        <v>0</v>
      </c>
      <c r="J131" s="664">
        <f>'WK22'!J131+'WK21'!J131+'WK23'!J131+'WK24'!J131</f>
        <v>8</v>
      </c>
      <c r="K131" s="453">
        <f>'WK22'!N131+'WK21'!N131+'WK23'!N131+'WK24'!N131</f>
        <v>0</v>
      </c>
      <c r="L131" s="206">
        <f>'WK22'!P131+'WK21'!P131+'WK23'!P131+'WK24'!P131</f>
        <v>0</v>
      </c>
      <c r="M131" s="206">
        <f>'WK22'!Q131+'WK21'!Q131+'WK23'!Q131</f>
        <v>1750.9251859999999</v>
      </c>
      <c r="N131" s="206">
        <f>'WK24'!Q131</f>
        <v>628</v>
      </c>
      <c r="O131" s="173">
        <f t="shared" ref="O131" si="18">M131+N131</f>
        <v>2378.9251859999999</v>
      </c>
      <c r="P131" s="1252" t="s">
        <v>444</v>
      </c>
      <c r="Q131" s="423"/>
      <c r="R131" s="1129"/>
      <c r="S131" s="842"/>
    </row>
    <row r="132" spans="1:19" s="91" customFormat="1" ht="15" customHeight="1">
      <c r="A132" s="679"/>
      <c r="B132" s="374"/>
      <c r="C132" s="374"/>
      <c r="D132" s="663"/>
      <c r="E132" s="664"/>
      <c r="F132" s="664"/>
      <c r="G132" s="664"/>
      <c r="H132" s="663"/>
      <c r="I132" s="663"/>
      <c r="J132" s="664"/>
      <c r="K132" s="453"/>
      <c r="L132" s="206"/>
      <c r="M132" s="206"/>
      <c r="N132" s="206"/>
      <c r="O132" s="420"/>
      <c r="P132" s="341"/>
      <c r="Q132" s="423">
        <f>0+0+0+0+(3.3)+(49.63+18.7)</f>
        <v>71.63</v>
      </c>
      <c r="R132" s="1129"/>
      <c r="S132" s="842"/>
    </row>
    <row r="133" spans="1:19" s="87" customFormat="1" ht="15" customHeight="1">
      <c r="A133" s="383"/>
      <c r="B133" s="135"/>
      <c r="C133" s="123"/>
      <c r="D133" s="359"/>
      <c r="E133" s="359"/>
      <c r="F133" s="656"/>
      <c r="G133" s="656"/>
      <c r="H133" s="359"/>
      <c r="I133" s="359"/>
      <c r="J133" s="656"/>
      <c r="K133" s="457"/>
      <c r="L133" s="124"/>
      <c r="M133" s="124"/>
      <c r="N133" s="349"/>
      <c r="O133" s="288"/>
      <c r="P133" s="360"/>
      <c r="Q133" s="699"/>
      <c r="R133" s="1132"/>
      <c r="S133" s="840"/>
    </row>
    <row r="134" spans="1:19" s="91" customFormat="1" ht="15" customHeight="1">
      <c r="A134" s="679">
        <v>33</v>
      </c>
      <c r="B134" s="1152" t="str">
        <f>Periode!B134</f>
        <v>Remco van Doorne</v>
      </c>
      <c r="C134" s="374" t="str">
        <f>Periode!H134</f>
        <v>Bouw</v>
      </c>
      <c r="D134" s="663">
        <f>'WK22'!D134+'WK21'!D134+'WK23'!D134+'WK24'!D134</f>
        <v>18</v>
      </c>
      <c r="E134" s="664">
        <f>'WK22'!E134+'WK21'!E134+'WK23'!E134+'WK24'!E134</f>
        <v>143</v>
      </c>
      <c r="F134" s="664">
        <f>'WK22'!F134+'WK21'!F134+'WK23'!F134+'WK24'!F134</f>
        <v>0</v>
      </c>
      <c r="G134" s="664">
        <f>'WK22'!G134+'WK21'!G134+'WK23'!G134+'WK24'!G134</f>
        <v>0</v>
      </c>
      <c r="H134" s="663">
        <f>'WK22'!H134+'WK21'!H134+'WK23'!H134+'WK24'!H134</f>
        <v>0</v>
      </c>
      <c r="I134" s="663">
        <f>'WK22'!I134+'WK21'!I134+'WK23'!I134+'WK24'!I134</f>
        <v>0</v>
      </c>
      <c r="J134" s="664">
        <f>'WK22'!J134+'WK21'!J134+'WK23'!J134+'WK24'!J134</f>
        <v>8</v>
      </c>
      <c r="K134" s="453">
        <f>'WK22'!N134+'WK21'!N134+'WK23'!N134+'WK24'!N134</f>
        <v>0</v>
      </c>
      <c r="L134" s="206">
        <f>'WK22'!P134+'WK21'!P134+'WK23'!P134+'WK24'!P134</f>
        <v>187.74</v>
      </c>
      <c r="M134" s="206">
        <f>'WK22'!Q134+'WK21'!Q134+'WK23'!Q134</f>
        <v>1641.0066875000002</v>
      </c>
      <c r="N134" s="206">
        <f>'WK24'!Q134</f>
        <v>594.64250000000004</v>
      </c>
      <c r="O134" s="173">
        <f t="shared" ref="O134" si="19">M134+N134</f>
        <v>2235.6491875000002</v>
      </c>
      <c r="P134" s="341" t="s">
        <v>163</v>
      </c>
      <c r="Q134" s="423">
        <f>(0)+(0)+(0)+(73.53+9.9)+(147.06+19.8)+(147.06+19.8)</f>
        <v>417.15000000000003</v>
      </c>
      <c r="R134" s="1129"/>
      <c r="S134" s="842"/>
    </row>
    <row r="135" spans="1:19" s="91" customFormat="1" ht="15" customHeight="1">
      <c r="A135" s="679"/>
      <c r="B135" s="374"/>
      <c r="C135" s="374"/>
      <c r="D135" s="663"/>
      <c r="E135" s="664"/>
      <c r="F135" s="664"/>
      <c r="G135" s="664"/>
      <c r="H135" s="663"/>
      <c r="I135" s="663"/>
      <c r="J135" s="664"/>
      <c r="K135" s="453"/>
      <c r="L135" s="206"/>
      <c r="M135" s="206"/>
      <c r="N135" s="206"/>
      <c r="O135" s="420">
        <f>'WK24'!Q133</f>
        <v>40.770000000000003</v>
      </c>
      <c r="P135" s="341">
        <f>O134+O135</f>
        <v>2276.4191875000001</v>
      </c>
      <c r="Q135" s="423"/>
      <c r="R135" s="1129"/>
      <c r="S135" s="842"/>
    </row>
    <row r="136" spans="1:19" s="87" customFormat="1" ht="15" customHeight="1">
      <c r="A136" s="383"/>
      <c r="B136" s="135"/>
      <c r="C136" s="123"/>
      <c r="D136" s="359"/>
      <c r="E136" s="359"/>
      <c r="F136" s="656"/>
      <c r="G136" s="656"/>
      <c r="H136" s="359"/>
      <c r="I136" s="359"/>
      <c r="J136" s="656"/>
      <c r="K136" s="457"/>
      <c r="L136" s="124"/>
      <c r="M136" s="124"/>
      <c r="N136" s="349"/>
      <c r="O136" s="288"/>
      <c r="P136" s="698"/>
      <c r="Q136" s="699"/>
      <c r="R136" s="1132"/>
      <c r="S136" s="840"/>
    </row>
    <row r="137" spans="1:19" s="87" customFormat="1" ht="15" customHeight="1">
      <c r="A137" s="91"/>
      <c r="B137" s="1152"/>
      <c r="C137" s="88"/>
      <c r="D137" s="231"/>
      <c r="E137" s="231"/>
      <c r="F137" s="625"/>
      <c r="G137" s="625"/>
      <c r="H137" s="231"/>
      <c r="I137" s="231"/>
      <c r="J137" s="625"/>
      <c r="K137" s="459"/>
      <c r="L137" s="107"/>
      <c r="M137" s="107"/>
      <c r="N137" s="105"/>
      <c r="O137" s="183"/>
      <c r="P137" s="341"/>
      <c r="Q137" s="219"/>
      <c r="R137" s="1130"/>
      <c r="S137" s="840"/>
    </row>
    <row r="138" spans="1:19" s="719" customFormat="1" ht="15" customHeight="1">
      <c r="A138" s="91">
        <v>34</v>
      </c>
      <c r="B138" s="964" t="str">
        <f>Periode!B138</f>
        <v>Rob Valkenburg</v>
      </c>
      <c r="C138" s="28" t="str">
        <f>Periode!H138</f>
        <v>Bouw</v>
      </c>
      <c r="D138" s="663">
        <f>'WK22'!D138+'WK21'!D138+'WK23'!D138+'WK24'!D138</f>
        <v>18</v>
      </c>
      <c r="E138" s="664">
        <f>'WK22'!E138+'WK21'!E138+'WK23'!E138+'WK24'!E138</f>
        <v>137</v>
      </c>
      <c r="F138" s="664">
        <f>'WK22'!F138+'WK21'!F138+'WK23'!F138+'WK24'!F138</f>
        <v>0</v>
      </c>
      <c r="G138" s="664">
        <f>'WK22'!G138+'WK21'!G138+'WK23'!G138+'WK24'!G138</f>
        <v>0</v>
      </c>
      <c r="H138" s="663">
        <f>'WK22'!H138+'WK21'!H138+'WK23'!H138+'WK24'!H138</f>
        <v>0</v>
      </c>
      <c r="I138" s="663">
        <f>'WK22'!I138+'WK21'!I138+'WK23'!I138+'WK24'!I138</f>
        <v>0</v>
      </c>
      <c r="J138" s="664">
        <f>'WK22'!J138+'WK21'!J138+'WK23'!J138+'WK24'!J138</f>
        <v>8</v>
      </c>
      <c r="K138" s="453">
        <f>'WK22'!N138+'WK21'!N138+'WK23'!N138+'WK24'!N138</f>
        <v>1260</v>
      </c>
      <c r="L138" s="206">
        <f>'WK22'!P138+'WK21'!P138+'WK23'!P138+'WK24'!P138</f>
        <v>0</v>
      </c>
      <c r="M138" s="206">
        <f>'WK22'!Q138+'WK21'!Q138+'WK23'!Q138</f>
        <v>2383.1385049999999</v>
      </c>
      <c r="N138" s="206">
        <f>'WK24'!Q138</f>
        <v>618.18362499999989</v>
      </c>
      <c r="O138" s="173">
        <f>M138+N138</f>
        <v>3001.3221299999996</v>
      </c>
      <c r="P138" s="341"/>
      <c r="Q138" s="423">
        <f>(151.5+15.4)+(291.22+17.6)+(189.68+20.9)+(14.3)+(16.5)+(19.8)</f>
        <v>736.9</v>
      </c>
      <c r="R138" s="1129">
        <f>-9.94-39.78+16.03</f>
        <v>-33.69</v>
      </c>
      <c r="S138" s="849"/>
    </row>
    <row r="139" spans="1:19" s="87" customFormat="1" ht="15" customHeight="1">
      <c r="A139" s="383"/>
      <c r="B139" s="135"/>
      <c r="C139" s="123"/>
      <c r="D139" s="359"/>
      <c r="E139" s="359"/>
      <c r="F139" s="656"/>
      <c r="G139" s="656"/>
      <c r="H139" s="359"/>
      <c r="I139" s="359"/>
      <c r="J139" s="656"/>
      <c r="K139" s="457"/>
      <c r="L139" s="124"/>
      <c r="M139" s="124"/>
      <c r="N139" s="349"/>
      <c r="O139" s="288"/>
      <c r="P139" s="698"/>
      <c r="Q139" s="699"/>
      <c r="R139" s="1132"/>
      <c r="S139" s="840"/>
    </row>
    <row r="140" spans="1:19" s="87" customFormat="1" ht="15" customHeight="1">
      <c r="A140" s="679"/>
      <c r="B140" s="374"/>
      <c r="C140" s="401"/>
      <c r="D140" s="801"/>
      <c r="E140" s="802"/>
      <c r="F140" s="802"/>
      <c r="G140" s="802"/>
      <c r="H140" s="801"/>
      <c r="I140" s="801"/>
      <c r="J140" s="802"/>
      <c r="K140" s="803"/>
      <c r="L140" s="804"/>
      <c r="M140" s="804"/>
      <c r="N140" s="804"/>
      <c r="O140" s="183"/>
      <c r="P140" s="718"/>
      <c r="Q140" s="718"/>
      <c r="R140" s="1138"/>
      <c r="S140" s="845"/>
    </row>
    <row r="141" spans="1:19" s="719" customFormat="1" ht="15" customHeight="1">
      <c r="A141" s="679">
        <v>35</v>
      </c>
      <c r="B141" s="964" t="str">
        <f>Periode!B141</f>
        <v>Herman Vos</v>
      </c>
      <c r="C141" s="374" t="str">
        <f>Periode!H141</f>
        <v>Bouw</v>
      </c>
      <c r="D141" s="663">
        <f>'WK22'!D141+'WK21'!D141+'WK23'!D141+'WK24'!D141</f>
        <v>18</v>
      </c>
      <c r="E141" s="664">
        <f>'WK22'!E141+'WK21'!E141+'WK23'!E141+'WK24'!E141</f>
        <v>144</v>
      </c>
      <c r="F141" s="664">
        <f>'WK22'!F141+'WK21'!F141+'WK23'!F141+'WK24'!F141</f>
        <v>0</v>
      </c>
      <c r="G141" s="664">
        <f>'WK22'!G141+'WK21'!G141+'WK23'!G141+'WK24'!G141</f>
        <v>0</v>
      </c>
      <c r="H141" s="663">
        <f>'WK22'!H141+'WK21'!H141+'WK23'!H141+'WK24'!H141</f>
        <v>8</v>
      </c>
      <c r="I141" s="663">
        <f>'WK22'!I141+'WK21'!I141+'WK23'!I141+'WK24'!I141</f>
        <v>0</v>
      </c>
      <c r="J141" s="664">
        <f>'WK22'!J141+'WK21'!J141+'WK23'!J141+'WK24'!J141</f>
        <v>8</v>
      </c>
      <c r="K141" s="453">
        <f>'WK22'!N141+'WK21'!N141+'WK23'!N141+'WK24'!N141</f>
        <v>0</v>
      </c>
      <c r="L141" s="206">
        <f>'WK22'!P141+'WK21'!P141+'WK23'!P141+'WK24'!P141</f>
        <v>13.16</v>
      </c>
      <c r="M141" s="206">
        <f>'WK22'!Q141+'WK21'!Q141+'WK23'!Q141</f>
        <v>2255.6851999999999</v>
      </c>
      <c r="N141" s="206">
        <f>'WK24'!Q141</f>
        <v>750</v>
      </c>
      <c r="O141" s="173">
        <f t="shared" ref="O141" si="20">M141+N141</f>
        <v>3005.6851999999999</v>
      </c>
      <c r="P141" s="341"/>
      <c r="Q141" s="423">
        <f>(0)+(0)+(0)+(228.18+13.2)+(200.37+18.7)+(166.27+19.8)</f>
        <v>646.52</v>
      </c>
      <c r="R141" s="1129"/>
      <c r="S141" s="849"/>
    </row>
    <row r="142" spans="1:19" s="87" customFormat="1" ht="15" customHeight="1">
      <c r="A142" s="383"/>
      <c r="B142" s="135"/>
      <c r="C142" s="123"/>
      <c r="D142" s="359"/>
      <c r="E142" s="359"/>
      <c r="F142" s="656"/>
      <c r="G142" s="656"/>
      <c r="H142" s="359"/>
      <c r="I142" s="359"/>
      <c r="J142" s="656"/>
      <c r="K142" s="457"/>
      <c r="L142" s="124"/>
      <c r="M142" s="124"/>
      <c r="N142" s="349"/>
      <c r="O142" s="288"/>
      <c r="P142" s="698"/>
      <c r="Q142" s="699"/>
      <c r="R142" s="1132"/>
      <c r="S142" s="840"/>
    </row>
    <row r="143" spans="1:19" s="719" customFormat="1" ht="15" customHeight="1">
      <c r="A143" s="679">
        <v>36</v>
      </c>
      <c r="B143" s="964" t="str">
        <f>Periode!B143</f>
        <v>Remco Groenendaal</v>
      </c>
      <c r="C143" s="374" t="str">
        <f>Periode!H143</f>
        <v>Bouw</v>
      </c>
      <c r="D143" s="663">
        <f>'WK22'!D143+'WK21'!D143+'WK23'!D143+'WK24'!D143</f>
        <v>16</v>
      </c>
      <c r="E143" s="664">
        <f>'WK22'!E143+'WK21'!E143+'WK23'!E143+'WK24'!E143</f>
        <v>117.5</v>
      </c>
      <c r="F143" s="664">
        <f>'WK22'!F143+'WK21'!F143+'WK23'!F143+'WK24'!F143</f>
        <v>9</v>
      </c>
      <c r="G143" s="664">
        <f>'WK22'!G143+'WK21'!G143+'WK23'!G143+'WK24'!G143</f>
        <v>0</v>
      </c>
      <c r="H143" s="663">
        <f>'WK22'!H143+'WK21'!H143+'WK23'!H143+'WK24'!H143</f>
        <v>0</v>
      </c>
      <c r="I143" s="663">
        <f>'WK22'!I143+'WK21'!I143+'WK23'!I143+'WK24'!I143</f>
        <v>25.5</v>
      </c>
      <c r="J143" s="664">
        <f>'WK22'!J143+'WK21'!J143+'WK23'!J143+'WK24'!J143</f>
        <v>8</v>
      </c>
      <c r="K143" s="453">
        <f>'WK22'!N143+'WK21'!N143+'WK23'!N143+'WK24'!N143</f>
        <v>960</v>
      </c>
      <c r="L143" s="206">
        <f>'WK22'!P143+'WK21'!P143+'WK23'!P143+'WK24'!P143</f>
        <v>-9</v>
      </c>
      <c r="M143" s="206">
        <f>'WK22'!Q143+'WK21'!Q143+'WK23'!Q143</f>
        <v>2317.25335</v>
      </c>
      <c r="N143" s="206">
        <f>'WK24'!Q143</f>
        <v>806.02</v>
      </c>
      <c r="O143" s="173">
        <f t="shared" ref="O143" si="21">M143+N143</f>
        <v>3123.2733499999999</v>
      </c>
      <c r="P143" s="341"/>
      <c r="Q143" s="423">
        <f>(0)+(8.8)+(4.4)+(14.3)+(17.6)</f>
        <v>45.1</v>
      </c>
      <c r="R143" s="1129">
        <f>-6.23-460.38-8.19-28.94+9.15</f>
        <v>-494.59000000000003</v>
      </c>
      <c r="S143" s="849"/>
    </row>
    <row r="144" spans="1:19" s="91" customFormat="1" ht="15" customHeight="1">
      <c r="A144" s="679"/>
      <c r="B144" s="374"/>
      <c r="C144" s="374"/>
      <c r="D144" s="663"/>
      <c r="E144" s="664"/>
      <c r="F144" s="664"/>
      <c r="G144" s="664"/>
      <c r="H144" s="663"/>
      <c r="I144" s="663"/>
      <c r="J144" s="664"/>
      <c r="K144" s="453"/>
      <c r="L144" s="206"/>
      <c r="M144" s="206"/>
      <c r="N144" s="206"/>
      <c r="O144" s="420"/>
      <c r="P144" s="341"/>
      <c r="Q144" s="423"/>
      <c r="R144" s="1129"/>
      <c r="S144" s="842"/>
    </row>
    <row r="145" spans="1:19" s="87" customFormat="1" ht="15" customHeight="1">
      <c r="A145" s="383"/>
      <c r="B145" s="135"/>
      <c r="C145" s="123"/>
      <c r="D145" s="359"/>
      <c r="E145" s="359"/>
      <c r="F145" s="656"/>
      <c r="G145" s="656"/>
      <c r="H145" s="359"/>
      <c r="I145" s="359"/>
      <c r="J145" s="656"/>
      <c r="K145" s="457"/>
      <c r="L145" s="124"/>
      <c r="M145" s="124"/>
      <c r="N145" s="349"/>
      <c r="O145" s="288"/>
      <c r="P145" s="698"/>
      <c r="Q145" s="699"/>
      <c r="R145" s="1132"/>
      <c r="S145" s="840"/>
    </row>
    <row r="146" spans="1:19" s="91" customFormat="1" ht="15" customHeight="1">
      <c r="A146" s="679"/>
      <c r="B146" s="374"/>
      <c r="C146" s="374"/>
      <c r="D146" s="663"/>
      <c r="E146" s="664"/>
      <c r="F146" s="664"/>
      <c r="G146" s="664"/>
      <c r="H146" s="663"/>
      <c r="I146" s="663"/>
      <c r="J146" s="664"/>
      <c r="K146" s="453"/>
      <c r="L146" s="206"/>
      <c r="M146" s="206"/>
      <c r="N146" s="206"/>
      <c r="O146" s="173"/>
      <c r="P146" s="341"/>
      <c r="Q146" s="423"/>
      <c r="R146" s="1129"/>
      <c r="S146" s="842"/>
    </row>
    <row r="147" spans="1:19" s="719" customFormat="1" ht="15" customHeight="1">
      <c r="A147" s="679">
        <v>37</v>
      </c>
      <c r="B147" s="964" t="str">
        <f>Periode!B147</f>
        <v>Fred Termonen</v>
      </c>
      <c r="C147" s="374" t="str">
        <f>Periode!H147</f>
        <v>UTA</v>
      </c>
      <c r="D147" s="663">
        <f>'WK22'!D147+'WK21'!D147+'WK23'!D147+'WK24'!D147</f>
        <v>9</v>
      </c>
      <c r="E147" s="664">
        <f>'WK22'!E147+'WK21'!E147+'WK23'!E147+'WK24'!E147</f>
        <v>72</v>
      </c>
      <c r="F147" s="664">
        <f>'WK22'!F147+'WK21'!F147+'WK23'!F147+'WK24'!F147</f>
        <v>16</v>
      </c>
      <c r="G147" s="664">
        <f>'WK22'!G147+'WK21'!G147+'WK23'!G147+'WK24'!G147</f>
        <v>0</v>
      </c>
      <c r="H147" s="663">
        <f>'WK22'!H147+'WK21'!H147+'WK23'!H147+'WK24'!H147</f>
        <v>0</v>
      </c>
      <c r="I147" s="663">
        <f>'WK22'!I147+'WK21'!I147+'WK23'!I147+'WK24'!I147</f>
        <v>0</v>
      </c>
      <c r="J147" s="664">
        <f>'WK22'!J147+'WK21'!J147+'WK23'!J147+'WK24'!J147</f>
        <v>8</v>
      </c>
      <c r="K147" s="453">
        <f>'WK22'!N147+'WK21'!N147+'WK23'!N147+'WK24'!N147</f>
        <v>0</v>
      </c>
      <c r="L147" s="206">
        <f>'WK22'!P147+'WK21'!P147+'WK23'!P147+'WK24'!P147</f>
        <v>0</v>
      </c>
      <c r="M147" s="206">
        <f>'WK22'!Q147+'WK21'!Q147+'WK23'!Q147</f>
        <v>1358.7370800000001</v>
      </c>
      <c r="N147" s="206">
        <f>'WK24'!Q147</f>
        <v>456.67200000000003</v>
      </c>
      <c r="O147" s="173">
        <f t="shared" ref="O147" si="22">M147+N147</f>
        <v>1815.4090800000001</v>
      </c>
      <c r="P147" s="721"/>
      <c r="Q147" s="423">
        <f>(155.35+9.9)+(117.86+12.1)+(124.01+9.9)+(156.7+11)+(130.35+11)+(142.82+9.9)</f>
        <v>890.89</v>
      </c>
      <c r="R147" s="1142"/>
      <c r="S147" s="849"/>
    </row>
    <row r="148" spans="1:19" s="87" customFormat="1" ht="15" customHeight="1">
      <c r="A148" s="383"/>
      <c r="B148" s="135"/>
      <c r="C148" s="123"/>
      <c r="D148" s="359"/>
      <c r="E148" s="359"/>
      <c r="F148" s="656"/>
      <c r="G148" s="656"/>
      <c r="H148" s="359"/>
      <c r="I148" s="359"/>
      <c r="J148" s="656"/>
      <c r="K148" s="457"/>
      <c r="L148" s="124"/>
      <c r="M148" s="124"/>
      <c r="N148" s="349"/>
      <c r="O148" s="288"/>
      <c r="P148" s="698"/>
      <c r="Q148" s="699"/>
      <c r="R148" s="1132"/>
      <c r="S148" s="840"/>
    </row>
    <row r="149" spans="1:19" s="91" customFormat="1" ht="15" customHeight="1">
      <c r="A149" s="679">
        <v>38</v>
      </c>
      <c r="B149" s="964" t="str">
        <f>Periode!B149</f>
        <v>Arnold Verstraten</v>
      </c>
      <c r="C149" s="374" t="str">
        <f>Periode!H149</f>
        <v>Bouw</v>
      </c>
      <c r="D149" s="663">
        <f>'WK22'!D149+'WK21'!D149+'WK23'!D149+'WK24'!D149</f>
        <v>19</v>
      </c>
      <c r="E149" s="664">
        <f>'WK22'!E149+'WK21'!E149+'WK23'!E149+'WK24'!E149</f>
        <v>152</v>
      </c>
      <c r="F149" s="664">
        <f>'WK22'!F149+'WK21'!F149+'WK23'!F149+'WK24'!F149</f>
        <v>0</v>
      </c>
      <c r="G149" s="664">
        <f>'WK22'!G149+'WK21'!G149+'WK23'!G149+'WK24'!G149</f>
        <v>0</v>
      </c>
      <c r="H149" s="663">
        <f>'WK22'!H149+'WK21'!H149+'WK23'!H149+'WK24'!H149</f>
        <v>0</v>
      </c>
      <c r="I149" s="663">
        <f>'WK22'!I149+'WK21'!I149+'WK23'!I149+'WK24'!I149</f>
        <v>0</v>
      </c>
      <c r="J149" s="664">
        <f>'WK22'!J149+'WK21'!J149+'WK23'!J149+'WK24'!J149</f>
        <v>8</v>
      </c>
      <c r="K149" s="453">
        <f>'WK22'!N149+'WK21'!N149+'WK23'!N149+'WK24'!N149</f>
        <v>1026</v>
      </c>
      <c r="L149" s="206">
        <f>'WK22'!P149+'WK21'!P149+'WK23'!P149+'WK24'!P149</f>
        <v>0</v>
      </c>
      <c r="M149" s="206">
        <f>'WK22'!Q149+'WK21'!Q149+'WK23'!Q149</f>
        <v>2309.3017600000003</v>
      </c>
      <c r="N149" s="206">
        <f>'WK24'!Q149</f>
        <v>776.0200000000001</v>
      </c>
      <c r="O149" s="173">
        <f t="shared" ref="O149" si="23">M149+N149</f>
        <v>3085.3217600000003</v>
      </c>
      <c r="P149" s="721"/>
      <c r="Q149" s="423">
        <f>(77.51+15.4)+(188.27+19.8)+(133.55+20.9)+(143.42+19.8)+(196.22+17.6)+(82.44+20.9)+(169.5+20.9)</f>
        <v>1126.21</v>
      </c>
      <c r="R149" s="1142"/>
      <c r="S149" s="842"/>
    </row>
    <row r="150" spans="1:19" s="719" customFormat="1" ht="15" customHeight="1">
      <c r="A150" s="679"/>
      <c r="B150" s="374"/>
      <c r="C150" s="374"/>
      <c r="D150" s="663"/>
      <c r="E150" s="664"/>
      <c r="F150" s="664"/>
      <c r="G150" s="664"/>
      <c r="H150" s="663"/>
      <c r="I150" s="663"/>
      <c r="J150" s="664"/>
      <c r="K150" s="453"/>
      <c r="L150" s="206"/>
      <c r="M150" s="206"/>
      <c r="N150" s="206"/>
      <c r="O150" s="173"/>
      <c r="P150" s="721"/>
      <c r="Q150" s="721"/>
      <c r="R150" s="1142"/>
      <c r="S150" s="849"/>
    </row>
    <row r="151" spans="1:19" s="87" customFormat="1" ht="15" customHeight="1">
      <c r="A151" s="383"/>
      <c r="B151" s="135"/>
      <c r="C151" s="123"/>
      <c r="D151" s="359"/>
      <c r="E151" s="359"/>
      <c r="F151" s="656"/>
      <c r="G151" s="656"/>
      <c r="H151" s="359"/>
      <c r="I151" s="359"/>
      <c r="J151" s="656"/>
      <c r="K151" s="457"/>
      <c r="L151" s="124"/>
      <c r="M151" s="124"/>
      <c r="N151" s="349"/>
      <c r="O151" s="288"/>
      <c r="P151" s="698"/>
      <c r="Q151" s="699"/>
      <c r="R151" s="1132"/>
      <c r="S151" s="840"/>
    </row>
    <row r="152" spans="1:19" s="91" customFormat="1" ht="15" customHeight="1">
      <c r="A152" s="679"/>
      <c r="B152" s="374"/>
      <c r="C152" s="374"/>
      <c r="D152" s="663"/>
      <c r="E152" s="664"/>
      <c r="F152" s="664"/>
      <c r="G152" s="664"/>
      <c r="H152" s="663"/>
      <c r="I152" s="663"/>
      <c r="J152" s="664"/>
      <c r="K152" s="453"/>
      <c r="L152" s="206"/>
      <c r="M152" s="206"/>
      <c r="N152" s="206"/>
      <c r="O152" s="173"/>
      <c r="P152" s="721"/>
      <c r="Q152" s="423"/>
      <c r="R152" s="1142"/>
      <c r="S152" s="842"/>
    </row>
    <row r="153" spans="1:19" s="719" customFormat="1" ht="15" customHeight="1">
      <c r="A153" s="679"/>
      <c r="B153" s="374"/>
      <c r="C153" s="374"/>
      <c r="D153" s="663"/>
      <c r="E153" s="664"/>
      <c r="F153" s="664"/>
      <c r="G153" s="664"/>
      <c r="H153" s="663"/>
      <c r="I153" s="663"/>
      <c r="J153" s="664"/>
      <c r="K153" s="453"/>
      <c r="L153" s="206"/>
      <c r="M153" s="206"/>
      <c r="N153" s="206"/>
      <c r="O153" s="420"/>
      <c r="P153" s="341"/>
      <c r="Q153" s="721"/>
      <c r="R153" s="1142"/>
      <c r="S153" s="849"/>
    </row>
    <row r="154" spans="1:19" s="87" customFormat="1" ht="15" customHeight="1">
      <c r="A154" s="383"/>
      <c r="B154" s="135"/>
      <c r="C154" s="123"/>
      <c r="D154" s="359"/>
      <c r="E154" s="359"/>
      <c r="F154" s="656"/>
      <c r="G154" s="656"/>
      <c r="H154" s="359"/>
      <c r="I154" s="359"/>
      <c r="J154" s="656"/>
      <c r="K154" s="457"/>
      <c r="L154" s="124"/>
      <c r="M154" s="124"/>
      <c r="N154" s="349"/>
      <c r="O154" s="288"/>
      <c r="P154" s="698"/>
      <c r="Q154" s="699"/>
      <c r="R154" s="1132"/>
      <c r="S154" s="840"/>
    </row>
    <row r="155" spans="1:19" s="246" customFormat="1" ht="15" customHeight="1">
      <c r="A155" s="821"/>
      <c r="B155" s="374"/>
      <c r="C155" s="466">
        <f>Periode!H155</f>
        <v>0</v>
      </c>
      <c r="D155" s="822">
        <f>'WK22'!D155+'WK21'!D155+'WK23'!D155+'WK24'!D155</f>
        <v>0</v>
      </c>
      <c r="E155" s="823">
        <f>'WK22'!E155+'WK21'!E155+'WK23'!E155+'WK24'!E155</f>
        <v>0</v>
      </c>
      <c r="F155" s="823">
        <f>'WK22'!F155+'WK21'!F155+'WK23'!F155+'WK24'!F155</f>
        <v>0</v>
      </c>
      <c r="G155" s="823">
        <f>'WK22'!G155+'WK21'!G155+'WK23'!G155+'WK24'!G155</f>
        <v>0</v>
      </c>
      <c r="H155" s="822">
        <f>'WK22'!H155+'WK21'!H155+'WK23'!H155+'WK24'!H155</f>
        <v>0</v>
      </c>
      <c r="I155" s="822">
        <f>'WK22'!I155+'WK21'!I155+'WK23'!I155+'WK24'!I155</f>
        <v>0</v>
      </c>
      <c r="J155" s="823">
        <f>'WK22'!J155+'WK21'!J155+'WK23'!J155+'WK24'!J155</f>
        <v>0</v>
      </c>
      <c r="K155" s="605">
        <f>'WK22'!N155+'WK21'!N155+'WK23'!N155+'WK24'!N155</f>
        <v>0</v>
      </c>
      <c r="L155" s="253">
        <f>'WK22'!P155+'WK21'!P155+'WK23'!P155+'WK24'!P155</f>
        <v>0</v>
      </c>
      <c r="M155" s="253">
        <f>'WK22'!Q155+'WK21'!Q155+'WK23'!Q155</f>
        <v>0</v>
      </c>
      <c r="N155" s="253">
        <f>'WK24'!Q155</f>
        <v>0</v>
      </c>
      <c r="O155" s="148">
        <f t="shared" ref="O155" si="24">M155+N155</f>
        <v>0</v>
      </c>
      <c r="P155" s="394"/>
      <c r="Q155" s="394">
        <f>(2.08)+(7.93)+8.26</f>
        <v>18.27</v>
      </c>
      <c r="R155" s="1135"/>
      <c r="S155" s="847"/>
    </row>
    <row r="156" spans="1:19" s="91" customFormat="1" ht="15" customHeight="1">
      <c r="A156" s="679"/>
      <c r="B156" s="374"/>
      <c r="C156" s="374"/>
      <c r="D156" s="663"/>
      <c r="E156" s="664"/>
      <c r="F156" s="664"/>
      <c r="G156" s="664"/>
      <c r="H156" s="663"/>
      <c r="I156" s="663"/>
      <c r="J156" s="664"/>
      <c r="K156" s="453"/>
      <c r="L156" s="206"/>
      <c r="M156" s="206"/>
      <c r="N156" s="206"/>
      <c r="O156" s="173"/>
      <c r="P156" s="341"/>
      <c r="Q156" s="423"/>
      <c r="R156" s="1129"/>
      <c r="S156" s="842"/>
    </row>
    <row r="157" spans="1:19" s="87" customFormat="1" ht="15" customHeight="1">
      <c r="A157" s="383"/>
      <c r="B157" s="135"/>
      <c r="C157" s="123"/>
      <c r="D157" s="359"/>
      <c r="E157" s="359"/>
      <c r="F157" s="656"/>
      <c r="G157" s="656"/>
      <c r="H157" s="359"/>
      <c r="I157" s="359"/>
      <c r="J157" s="656"/>
      <c r="K157" s="457"/>
      <c r="L157" s="124"/>
      <c r="M157" s="124"/>
      <c r="N157" s="349"/>
      <c r="O157" s="288"/>
      <c r="P157" s="698"/>
      <c r="Q157" s="699"/>
      <c r="R157" s="1132"/>
      <c r="S157" s="840"/>
    </row>
  </sheetData>
  <pageMargins left="0.7" right="0.7" top="0.75" bottom="0.75" header="0.3" footer="0.3"/>
  <pageSetup paperSize="9" orientation="portrait" r:id="rId1"/>
  <ignoredErrors>
    <ignoredError sqref="O53 O21"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CCE04-3781-408B-BFE9-675BD659CA8C}">
  <sheetPr>
    <tabColor rgb="FF00B050"/>
    <pageSetUpPr fitToPage="1"/>
  </sheetPr>
  <dimension ref="A2:J54"/>
  <sheetViews>
    <sheetView topLeftCell="A16" workbookViewId="0">
      <selection activeCell="B43" sqref="B43"/>
    </sheetView>
  </sheetViews>
  <sheetFormatPr defaultRowHeight="15"/>
  <cols>
    <col min="1" max="1" width="42" customWidth="1"/>
    <col min="2" max="2" width="74.85546875" style="22" customWidth="1"/>
    <col min="3" max="3" width="48.7109375" customWidth="1"/>
    <col min="4" max="4" width="13.42578125" customWidth="1"/>
    <col min="5" max="5" width="51.28515625" customWidth="1"/>
    <col min="6" max="6" width="16.85546875" customWidth="1"/>
    <col min="7" max="7" width="50.42578125" customWidth="1"/>
  </cols>
  <sheetData>
    <row r="2" spans="1:10">
      <c r="A2" s="19"/>
      <c r="B2" s="21" t="s">
        <v>259</v>
      </c>
      <c r="C2" s="972" t="s">
        <v>260</v>
      </c>
      <c r="D2" s="972" t="s">
        <v>261</v>
      </c>
      <c r="E2" s="15" t="s">
        <v>18</v>
      </c>
      <c r="F2" s="973" t="s">
        <v>19</v>
      </c>
    </row>
    <row r="3" spans="1:10" s="4" customFormat="1">
      <c r="A3" s="19" t="s">
        <v>16</v>
      </c>
      <c r="B3" s="21"/>
      <c r="C3" s="972"/>
      <c r="D3" s="972"/>
      <c r="E3" s="15"/>
      <c r="F3" s="973"/>
      <c r="G3" s="16" t="s">
        <v>19</v>
      </c>
    </row>
    <row r="4" spans="1:10">
      <c r="A4" s="17" t="s">
        <v>262</v>
      </c>
      <c r="B4" s="974"/>
      <c r="C4" s="974" t="e">
        <f>20/B54</f>
        <v>#DIV/0!</v>
      </c>
      <c r="D4" s="975"/>
      <c r="E4" s="18" t="s">
        <v>263</v>
      </c>
      <c r="F4" s="976" t="s">
        <v>264</v>
      </c>
      <c r="G4" s="564"/>
      <c r="H4" s="322"/>
      <c r="I4" s="322"/>
      <c r="J4" s="322"/>
    </row>
    <row r="5" spans="1:10">
      <c r="A5" s="17" t="s">
        <v>265</v>
      </c>
      <c r="B5" s="977"/>
      <c r="C5" s="975" t="s">
        <v>266</v>
      </c>
      <c r="D5" s="975" t="s">
        <v>267</v>
      </c>
      <c r="E5" s="18" t="s">
        <v>268</v>
      </c>
      <c r="F5" s="976"/>
      <c r="G5" s="322"/>
      <c r="H5" s="322"/>
      <c r="I5" s="322"/>
      <c r="J5" s="322"/>
    </row>
    <row r="6" spans="1:10">
      <c r="A6" s="17" t="s">
        <v>269</v>
      </c>
      <c r="B6" s="977" t="s">
        <v>270</v>
      </c>
      <c r="C6" s="975"/>
      <c r="D6" s="975"/>
      <c r="E6" s="18" t="s">
        <v>271</v>
      </c>
      <c r="F6" s="978"/>
      <c r="G6" s="322"/>
      <c r="H6" s="322"/>
      <c r="I6" s="322"/>
      <c r="J6" s="322"/>
    </row>
    <row r="7" spans="1:10">
      <c r="A7" s="17" t="s">
        <v>22</v>
      </c>
      <c r="B7" s="23" t="s">
        <v>272</v>
      </c>
      <c r="C7" s="975"/>
      <c r="D7" s="975"/>
      <c r="E7" s="18" t="s">
        <v>273</v>
      </c>
      <c r="F7" s="978"/>
      <c r="G7" s="322"/>
      <c r="H7" s="322"/>
      <c r="I7" s="322"/>
      <c r="J7" s="322"/>
    </row>
    <row r="8" spans="1:10">
      <c r="A8" s="17" t="s">
        <v>25</v>
      </c>
      <c r="B8" s="977" t="s">
        <v>274</v>
      </c>
      <c r="C8" s="975"/>
      <c r="D8" s="975"/>
      <c r="E8" s="18" t="s">
        <v>275</v>
      </c>
      <c r="F8" s="976" t="s">
        <v>276</v>
      </c>
      <c r="G8" s="322" t="s">
        <v>20</v>
      </c>
      <c r="H8" s="322"/>
      <c r="I8" s="322"/>
      <c r="J8" s="322"/>
    </row>
    <row r="9" spans="1:10">
      <c r="A9" s="17" t="s">
        <v>277</v>
      </c>
      <c r="B9" s="23" t="s">
        <v>278</v>
      </c>
      <c r="C9" s="975"/>
      <c r="D9" s="975"/>
      <c r="E9" s="18" t="s">
        <v>279</v>
      </c>
      <c r="F9" s="976" t="s">
        <v>280</v>
      </c>
      <c r="G9" s="322"/>
      <c r="H9" s="322"/>
      <c r="I9" s="322"/>
      <c r="J9" s="322"/>
    </row>
    <row r="10" spans="1:10">
      <c r="A10" s="17" t="s">
        <v>358</v>
      </c>
      <c r="B10" s="23" t="s">
        <v>359</v>
      </c>
      <c r="C10" s="975"/>
      <c r="D10" s="975"/>
      <c r="E10" s="18"/>
      <c r="F10" s="976"/>
      <c r="G10" s="322"/>
      <c r="H10" s="322"/>
      <c r="I10" s="322"/>
      <c r="J10" s="322"/>
    </row>
    <row r="11" spans="1:10">
      <c r="A11" s="17"/>
      <c r="B11" s="23"/>
      <c r="C11" s="975"/>
      <c r="D11" s="975"/>
      <c r="E11" s="18"/>
      <c r="F11" s="976"/>
      <c r="G11" s="322"/>
      <c r="H11" s="322"/>
      <c r="I11" s="322"/>
      <c r="J11" s="322"/>
    </row>
    <row r="12" spans="1:10">
      <c r="A12" s="19" t="s">
        <v>281</v>
      </c>
      <c r="B12" s="23"/>
      <c r="C12" s="975"/>
      <c r="D12" s="975"/>
      <c r="E12" s="18"/>
      <c r="F12" s="976"/>
      <c r="G12" s="322"/>
      <c r="H12" s="322"/>
      <c r="I12" s="322"/>
      <c r="J12" s="322"/>
    </row>
    <row r="13" spans="1:10">
      <c r="A13" s="17" t="s">
        <v>282</v>
      </c>
      <c r="B13" s="23"/>
      <c r="C13" s="975"/>
      <c r="D13" s="975"/>
      <c r="E13" s="18"/>
      <c r="F13" s="976"/>
      <c r="G13" s="322"/>
      <c r="H13" s="322"/>
      <c r="I13" s="322"/>
      <c r="J13" s="322"/>
    </row>
    <row r="14" spans="1:10">
      <c r="A14" s="17" t="s">
        <v>283</v>
      </c>
      <c r="B14" t="s">
        <v>284</v>
      </c>
      <c r="C14" s="975"/>
      <c r="D14" s="975"/>
      <c r="E14" s="18"/>
      <c r="F14" s="976"/>
      <c r="G14" s="322"/>
      <c r="H14" s="322"/>
      <c r="I14" s="322"/>
      <c r="J14" s="322"/>
    </row>
    <row r="15" spans="1:10" s="3" customFormat="1">
      <c r="A15" s="17" t="s">
        <v>285</v>
      </c>
      <c r="B15" s="23"/>
      <c r="C15" s="975"/>
      <c r="D15" s="975"/>
      <c r="E15" s="18"/>
      <c r="F15" s="976"/>
      <c r="G15" s="565"/>
      <c r="H15" s="566"/>
      <c r="I15" s="566"/>
      <c r="J15" s="566"/>
    </row>
    <row r="16" spans="1:10">
      <c r="A16" s="17" t="s">
        <v>286</v>
      </c>
      <c r="B16" s="23" t="s">
        <v>287</v>
      </c>
      <c r="C16" s="975"/>
      <c r="D16" s="975"/>
      <c r="E16" s="18" t="s">
        <v>288</v>
      </c>
      <c r="F16" s="976"/>
      <c r="G16" s="322"/>
      <c r="H16" s="322"/>
      <c r="I16" s="322"/>
      <c r="J16" s="322"/>
    </row>
    <row r="17" spans="1:10">
      <c r="A17" s="17"/>
      <c r="B17" s="23"/>
      <c r="C17" s="975"/>
      <c r="D17" s="975"/>
      <c r="E17" s="18"/>
      <c r="F17" s="976"/>
      <c r="G17" s="322"/>
      <c r="H17" s="322"/>
      <c r="I17" s="322"/>
      <c r="J17" s="322"/>
    </row>
    <row r="18" spans="1:10">
      <c r="A18" s="19" t="s">
        <v>289</v>
      </c>
      <c r="B18" s="979" t="s">
        <v>290</v>
      </c>
      <c r="C18" s="975"/>
      <c r="D18" s="975"/>
      <c r="E18" s="18"/>
      <c r="F18" s="976"/>
      <c r="G18" s="322"/>
      <c r="H18" s="322"/>
      <c r="I18" s="322"/>
      <c r="J18" s="322"/>
    </row>
    <row r="19" spans="1:10">
      <c r="A19" s="17" t="s">
        <v>291</v>
      </c>
      <c r="B19" s="23" t="s">
        <v>292</v>
      </c>
      <c r="C19" s="975"/>
      <c r="D19" s="975"/>
      <c r="E19" s="18" t="s">
        <v>293</v>
      </c>
      <c r="F19" s="976"/>
      <c r="G19" s="322"/>
      <c r="H19" s="322"/>
      <c r="I19" s="322"/>
      <c r="J19" s="322"/>
    </row>
    <row r="20" spans="1:10">
      <c r="A20" s="17" t="s">
        <v>294</v>
      </c>
      <c r="B20" s="23" t="s">
        <v>292</v>
      </c>
      <c r="C20" s="975"/>
      <c r="D20" s="975"/>
      <c r="E20" s="18" t="s">
        <v>293</v>
      </c>
      <c r="F20" s="976"/>
      <c r="G20" s="322"/>
      <c r="H20" s="322"/>
      <c r="I20" s="322"/>
      <c r="J20" s="322"/>
    </row>
    <row r="21" spans="1:10">
      <c r="A21" s="17" t="s">
        <v>295</v>
      </c>
      <c r="B21" s="23" t="s">
        <v>296</v>
      </c>
      <c r="C21" s="975"/>
      <c r="D21" s="975"/>
      <c r="E21" s="18"/>
      <c r="F21" s="976" t="s">
        <v>297</v>
      </c>
      <c r="G21" s="322"/>
      <c r="H21" s="322"/>
      <c r="I21" s="322"/>
      <c r="J21" s="322"/>
    </row>
    <row r="22" spans="1:10">
      <c r="A22" s="17"/>
      <c r="B22" s="23" t="s">
        <v>298</v>
      </c>
      <c r="C22" s="975"/>
      <c r="D22" s="975"/>
      <c r="E22" s="18"/>
      <c r="F22" s="976"/>
      <c r="G22" s="322"/>
      <c r="H22" s="322"/>
      <c r="I22" s="322"/>
      <c r="J22" s="322"/>
    </row>
    <row r="23" spans="1:10">
      <c r="A23" s="17" t="s">
        <v>299</v>
      </c>
      <c r="B23" s="23" t="s">
        <v>300</v>
      </c>
      <c r="C23" s="975"/>
      <c r="D23" s="975"/>
      <c r="E23" s="18" t="s">
        <v>301</v>
      </c>
      <c r="F23" s="976"/>
      <c r="G23" s="567" t="s">
        <v>21</v>
      </c>
      <c r="H23" s="322"/>
      <c r="I23" s="322"/>
      <c r="J23" s="322"/>
    </row>
    <row r="24" spans="1:10">
      <c r="A24" s="17"/>
      <c r="B24" s="23"/>
      <c r="C24" s="975"/>
      <c r="D24" s="975"/>
      <c r="E24" s="18"/>
      <c r="F24" s="976"/>
      <c r="G24" s="322"/>
      <c r="H24" s="322"/>
      <c r="I24" s="322"/>
      <c r="J24" s="322"/>
    </row>
    <row r="25" spans="1:10">
      <c r="A25" s="19" t="s">
        <v>302</v>
      </c>
      <c r="B25" s="980" t="s">
        <v>303</v>
      </c>
      <c r="C25" s="23">
        <v>4.5100000000000001E-2</v>
      </c>
      <c r="D25" s="23">
        <v>2.3E-2</v>
      </c>
      <c r="E25" s="18" t="s">
        <v>304</v>
      </c>
      <c r="F25" s="976"/>
      <c r="G25" s="322"/>
      <c r="H25" s="322"/>
      <c r="I25" s="322"/>
      <c r="J25" s="322"/>
    </row>
    <row r="26" spans="1:10">
      <c r="A26" s="19"/>
      <c r="B26" s="841" t="s">
        <v>305</v>
      </c>
      <c r="C26" s="23">
        <v>8.6E-3</v>
      </c>
      <c r="D26" s="23"/>
      <c r="E26" s="18"/>
      <c r="F26" s="976"/>
      <c r="G26" s="322"/>
      <c r="H26" s="322"/>
      <c r="I26" s="322"/>
      <c r="J26" s="322"/>
    </row>
    <row r="27" spans="1:10">
      <c r="A27" s="19"/>
      <c r="B27" s="23"/>
      <c r="C27" s="1010">
        <f>C25-C26</f>
        <v>3.6500000000000005E-2</v>
      </c>
      <c r="D27" s="1010">
        <f>D25-D26</f>
        <v>2.3E-2</v>
      </c>
      <c r="E27" s="18"/>
      <c r="F27" s="976"/>
      <c r="G27" s="322" t="s">
        <v>23</v>
      </c>
      <c r="H27" s="322"/>
      <c r="I27" s="322"/>
      <c r="J27" s="322"/>
    </row>
    <row r="28" spans="1:10">
      <c r="A28" s="19"/>
      <c r="B28"/>
      <c r="C28" s="975"/>
      <c r="D28" s="975"/>
      <c r="E28" s="18"/>
      <c r="F28" s="976"/>
      <c r="G28" s="322"/>
      <c r="H28" s="322"/>
      <c r="I28" s="322"/>
      <c r="J28" s="322"/>
    </row>
    <row r="29" spans="1:10">
      <c r="A29" s="19" t="s">
        <v>306</v>
      </c>
      <c r="B29" s="982"/>
      <c r="C29" s="983"/>
      <c r="D29" s="983"/>
      <c r="E29" s="984"/>
      <c r="F29" s="985"/>
      <c r="G29" s="322"/>
      <c r="H29" s="322"/>
      <c r="I29" s="322"/>
      <c r="J29" s="322"/>
    </row>
    <row r="30" spans="1:10">
      <c r="A30" s="20" t="s">
        <v>307</v>
      </c>
      <c r="B30" s="986"/>
      <c r="C30" s="975" t="s">
        <v>308</v>
      </c>
      <c r="D30" s="983"/>
      <c r="E30" s="984"/>
      <c r="F30" s="985"/>
      <c r="G30" s="322"/>
      <c r="H30" s="322"/>
      <c r="I30" s="322"/>
      <c r="J30" s="322"/>
    </row>
    <row r="31" spans="1:10">
      <c r="A31" s="20" t="s">
        <v>309</v>
      </c>
      <c r="B31" s="987" t="s">
        <v>310</v>
      </c>
      <c r="C31" s="988">
        <f>22.39*12/13</f>
        <v>20.66769230769231</v>
      </c>
      <c r="D31" s="975"/>
      <c r="E31" s="18"/>
      <c r="F31" s="978"/>
      <c r="G31" s="322"/>
      <c r="H31" s="322"/>
      <c r="I31" s="322"/>
      <c r="J31" s="322"/>
    </row>
    <row r="32" spans="1:10">
      <c r="A32" s="20" t="s">
        <v>311</v>
      </c>
      <c r="B32" s="987" t="s">
        <v>312</v>
      </c>
      <c r="C32" s="988" t="s">
        <v>313</v>
      </c>
      <c r="D32" s="975"/>
      <c r="E32" s="18"/>
      <c r="F32" s="978"/>
      <c r="G32" s="322"/>
      <c r="H32" s="322"/>
      <c r="I32" s="322"/>
      <c r="J32" s="322"/>
    </row>
    <row r="33" spans="1:10">
      <c r="A33" s="20"/>
      <c r="B33" s="987"/>
      <c r="C33" s="988"/>
      <c r="D33" s="975"/>
      <c r="E33" s="18"/>
      <c r="F33" s="978"/>
      <c r="G33" s="322"/>
      <c r="H33" s="322"/>
      <c r="I33" s="322"/>
      <c r="J33" s="322"/>
    </row>
    <row r="34" spans="1:10">
      <c r="A34" s="19" t="s">
        <v>314</v>
      </c>
      <c r="B34" s="987"/>
      <c r="C34" s="988"/>
      <c r="D34" s="975"/>
      <c r="E34" s="18"/>
      <c r="F34" s="978"/>
    </row>
    <row r="35" spans="1:10">
      <c r="A35" s="20" t="s">
        <v>315</v>
      </c>
      <c r="B35" s="989" t="s">
        <v>316</v>
      </c>
      <c r="C35" s="988">
        <v>0.96</v>
      </c>
      <c r="D35" s="975"/>
      <c r="E35" s="18"/>
      <c r="F35" s="978"/>
    </row>
    <row r="36" spans="1:10">
      <c r="A36" s="20" t="s">
        <v>317</v>
      </c>
      <c r="B36" s="989" t="s">
        <v>316</v>
      </c>
      <c r="C36" s="988">
        <v>0.68</v>
      </c>
      <c r="D36" s="975"/>
      <c r="E36" s="18"/>
      <c r="F36" s="978"/>
    </row>
    <row r="37" spans="1:10">
      <c r="A37" s="20" t="s">
        <v>318</v>
      </c>
      <c r="B37" s="989" t="s">
        <v>316</v>
      </c>
      <c r="C37" s="977" t="s">
        <v>319</v>
      </c>
      <c r="D37" s="975"/>
      <c r="E37" s="18"/>
      <c r="F37" s="978"/>
    </row>
    <row r="38" spans="1:10">
      <c r="A38" s="20" t="s">
        <v>320</v>
      </c>
      <c r="B38" s="987"/>
      <c r="C38" s="977" t="s">
        <v>321</v>
      </c>
      <c r="D38" s="975"/>
      <c r="E38" s="18"/>
      <c r="F38" s="978"/>
    </row>
    <row r="39" spans="1:10">
      <c r="A39" s="20" t="s">
        <v>322</v>
      </c>
      <c r="B39" s="989" t="s">
        <v>316</v>
      </c>
      <c r="C39" s="988">
        <v>0.68</v>
      </c>
      <c r="D39" s="975"/>
      <c r="E39" s="18"/>
      <c r="F39" s="978"/>
    </row>
    <row r="40" spans="1:10">
      <c r="A40" s="20" t="s">
        <v>353</v>
      </c>
      <c r="B40" s="23"/>
      <c r="C40" s="975"/>
      <c r="D40" s="975"/>
      <c r="E40" s="18"/>
      <c r="F40" s="978"/>
    </row>
    <row r="41" spans="1:10">
      <c r="A41" s="17"/>
      <c r="B41" s="977"/>
      <c r="C41" s="975"/>
      <c r="D41" s="975"/>
      <c r="E41" s="18"/>
      <c r="F41" s="978"/>
    </row>
    <row r="42" spans="1:10">
      <c r="A42" s="17" t="s">
        <v>382</v>
      </c>
      <c r="B42" s="977" t="s">
        <v>383</v>
      </c>
      <c r="C42" s="975"/>
      <c r="D42" s="975"/>
      <c r="E42" s="18" t="s">
        <v>384</v>
      </c>
      <c r="F42" s="978"/>
    </row>
    <row r="43" spans="1:10">
      <c r="A43" s="17" t="s">
        <v>385</v>
      </c>
      <c r="B43" s="23">
        <f>18.6182%-15.9%</f>
        <v>2.7182000000000012E-2</v>
      </c>
      <c r="C43" s="975"/>
      <c r="D43" s="975"/>
      <c r="E43" s="322"/>
      <c r="F43" s="978"/>
    </row>
    <row r="44" spans="1:10" s="4" customFormat="1">
      <c r="A44" s="17" t="s">
        <v>386</v>
      </c>
      <c r="B44" s="23">
        <f>17.3596%-15.9%</f>
        <v>1.4595999999999998E-2</v>
      </c>
      <c r="C44" s="975"/>
      <c r="D44" s="975"/>
      <c r="E44" s="701"/>
      <c r="F44" s="978"/>
    </row>
    <row r="45" spans="1:10">
      <c r="A45" s="17" t="s">
        <v>388</v>
      </c>
      <c r="B45" s="23"/>
      <c r="C45" s="975"/>
      <c r="D45" s="975"/>
      <c r="E45" s="701"/>
      <c r="F45" s="978"/>
    </row>
    <row r="46" spans="1:10">
      <c r="A46" s="17" t="s">
        <v>387</v>
      </c>
      <c r="B46" s="1093">
        <v>9.24</v>
      </c>
      <c r="C46" s="975"/>
      <c r="D46" s="975"/>
      <c r="E46" s="322"/>
      <c r="F46" s="978"/>
    </row>
    <row r="47" spans="1:10">
      <c r="A47" s="17"/>
      <c r="B47" s="991"/>
      <c r="C47" s="975"/>
      <c r="D47" s="975"/>
      <c r="E47" s="322"/>
      <c r="F47" s="978"/>
    </row>
    <row r="48" spans="1:10">
      <c r="A48" s="17"/>
      <c r="B48" s="977"/>
      <c r="C48" s="975"/>
      <c r="D48" s="975"/>
      <c r="F48" s="978"/>
      <c r="H48">
        <f>262*8</f>
        <v>2096</v>
      </c>
    </row>
    <row r="49" spans="1:6">
      <c r="A49" s="17"/>
      <c r="B49" s="977"/>
      <c r="C49" s="975"/>
      <c r="D49" s="975"/>
      <c r="F49" s="978"/>
    </row>
    <row r="50" spans="1:6">
      <c r="A50" s="992" t="s">
        <v>24</v>
      </c>
      <c r="B50" s="993">
        <v>261</v>
      </c>
      <c r="C50" s="983"/>
      <c r="D50" s="983"/>
      <c r="F50" s="978"/>
    </row>
    <row r="51" spans="1:6">
      <c r="A51" s="992" t="s">
        <v>25</v>
      </c>
      <c r="B51" s="993">
        <v>6</v>
      </c>
      <c r="C51" s="983"/>
      <c r="D51" s="983"/>
      <c r="F51" s="978"/>
    </row>
    <row r="52" spans="1:6">
      <c r="A52" s="992" t="s">
        <v>26</v>
      </c>
      <c r="B52" s="993">
        <f>B50-B51</f>
        <v>255</v>
      </c>
      <c r="C52" s="983"/>
      <c r="D52" s="983"/>
      <c r="F52" s="978"/>
    </row>
    <row r="53" spans="1:6">
      <c r="A53" s="992"/>
      <c r="B53" s="993"/>
      <c r="C53" s="983"/>
      <c r="D53" s="983"/>
      <c r="F53" s="978"/>
    </row>
    <row r="54" spans="1:6">
      <c r="A54" s="992"/>
      <c r="B54" s="993"/>
      <c r="C54" s="983"/>
      <c r="D54" s="983"/>
      <c r="F54" s="978"/>
    </row>
  </sheetData>
  <phoneticPr fontId="45" type="noConversion"/>
  <pageMargins left="0.7" right="0.7" top="0.75" bottom="0.75" header="0.3" footer="0.3"/>
  <pageSetup scale="53"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A8251-BD61-45A2-8A54-BC70F7E9DEF0}">
  <dimension ref="B2:F55"/>
  <sheetViews>
    <sheetView topLeftCell="A10" workbookViewId="0">
      <selection activeCell="D43" sqref="C22:D43"/>
    </sheetView>
  </sheetViews>
  <sheetFormatPr defaultRowHeight="15"/>
  <cols>
    <col min="2" max="2" width="35.140625" style="995" customWidth="1"/>
    <col min="3" max="3" width="75.42578125" customWidth="1"/>
    <col min="4" max="4" width="41.7109375" customWidth="1"/>
    <col min="5" max="5" width="34.7109375" customWidth="1"/>
    <col min="6" max="6" width="79.140625" customWidth="1"/>
  </cols>
  <sheetData>
    <row r="2" spans="2:6">
      <c r="B2" s="19"/>
      <c r="C2" s="21" t="s">
        <v>259</v>
      </c>
      <c r="D2" s="972" t="s">
        <v>342</v>
      </c>
      <c r="E2" s="15" t="s">
        <v>18</v>
      </c>
      <c r="F2" s="973" t="s">
        <v>19</v>
      </c>
    </row>
    <row r="3" spans="2:6">
      <c r="B3" s="19" t="s">
        <v>16</v>
      </c>
      <c r="C3" s="21"/>
      <c r="D3" s="972"/>
      <c r="E3" s="15"/>
      <c r="F3" s="973"/>
    </row>
    <row r="4" spans="2:6">
      <c r="B4" s="17" t="s">
        <v>339</v>
      </c>
      <c r="C4" s="974"/>
      <c r="D4" s="975"/>
      <c r="E4" s="18"/>
      <c r="F4" s="976"/>
    </row>
    <row r="5" spans="2:6">
      <c r="B5" s="17" t="s">
        <v>265</v>
      </c>
      <c r="C5" s="977" t="s">
        <v>340</v>
      </c>
      <c r="D5" s="975"/>
      <c r="E5" s="18"/>
      <c r="F5" s="976"/>
    </row>
    <row r="6" spans="2:6">
      <c r="B6" s="17" t="s">
        <v>269</v>
      </c>
      <c r="C6" s="977"/>
      <c r="D6" s="975"/>
      <c r="E6" s="18"/>
      <c r="F6" s="978"/>
    </row>
    <row r="7" spans="2:6">
      <c r="B7" s="17" t="s">
        <v>22</v>
      </c>
      <c r="C7" s="23"/>
      <c r="D7" s="975"/>
      <c r="E7" s="18"/>
      <c r="F7" s="978"/>
    </row>
    <row r="8" spans="2:6">
      <c r="B8" s="17" t="s">
        <v>25</v>
      </c>
      <c r="C8" s="977"/>
      <c r="D8" s="975"/>
      <c r="E8" s="18"/>
      <c r="F8" s="976"/>
    </row>
    <row r="9" spans="2:6">
      <c r="B9" s="17" t="s">
        <v>277</v>
      </c>
      <c r="C9" s="23"/>
      <c r="D9" s="975"/>
      <c r="E9" s="18"/>
      <c r="F9" s="976"/>
    </row>
    <row r="10" spans="2:6">
      <c r="B10" s="17"/>
      <c r="C10" s="23"/>
      <c r="D10" s="975"/>
      <c r="E10" s="18"/>
      <c r="F10" s="976"/>
    </row>
    <row r="11" spans="2:6">
      <c r="B11" s="19" t="s">
        <v>69</v>
      </c>
      <c r="C11" s="23"/>
      <c r="D11" s="975"/>
      <c r="E11" s="18"/>
      <c r="F11" s="976"/>
    </row>
    <row r="12" spans="2:6">
      <c r="B12" s="17" t="s">
        <v>345</v>
      </c>
      <c r="C12" t="s">
        <v>352</v>
      </c>
      <c r="D12" s="975"/>
      <c r="E12" s="18"/>
      <c r="F12" s="976"/>
    </row>
    <row r="13" spans="2:6">
      <c r="B13" s="17" t="s">
        <v>346</v>
      </c>
      <c r="C13" t="s">
        <v>351</v>
      </c>
      <c r="D13" s="975"/>
      <c r="E13" s="18"/>
      <c r="F13" s="976"/>
    </row>
    <row r="14" spans="2:6">
      <c r="F14" s="976"/>
    </row>
    <row r="15" spans="2:6">
      <c r="B15" s="17"/>
      <c r="C15" s="23"/>
      <c r="D15" s="975"/>
      <c r="E15" s="18"/>
      <c r="F15" s="976"/>
    </row>
    <row r="16" spans="2:6">
      <c r="B16" s="17"/>
      <c r="C16" s="23"/>
      <c r="D16" s="975"/>
      <c r="E16" s="18"/>
      <c r="F16" s="976"/>
    </row>
    <row r="17" spans="2:6">
      <c r="B17" s="17"/>
      <c r="C17" s="23"/>
      <c r="D17" s="975"/>
      <c r="E17" s="18"/>
      <c r="F17" s="976"/>
    </row>
    <row r="18" spans="2:6">
      <c r="B18" s="1005" t="s">
        <v>329</v>
      </c>
      <c r="C18" s="979"/>
      <c r="D18" s="975"/>
      <c r="E18" s="18"/>
      <c r="F18" s="976"/>
    </row>
    <row r="19" spans="2:6">
      <c r="B19" s="17" t="s">
        <v>330</v>
      </c>
      <c r="C19" t="s">
        <v>331</v>
      </c>
      <c r="D19" s="975"/>
      <c r="E19" s="18" t="s">
        <v>332</v>
      </c>
      <c r="F19" s="976"/>
    </row>
    <row r="20" spans="2:6">
      <c r="B20" s="17" t="s">
        <v>338</v>
      </c>
      <c r="C20" t="s">
        <v>333</v>
      </c>
      <c r="D20" s="975"/>
      <c r="E20" s="18" t="s">
        <v>337</v>
      </c>
      <c r="F20" s="976"/>
    </row>
    <row r="21" spans="2:6">
      <c r="B21" s="17" t="s">
        <v>334</v>
      </c>
      <c r="C21" t="s">
        <v>335</v>
      </c>
      <c r="D21" s="975"/>
      <c r="E21" s="18" t="s">
        <v>336</v>
      </c>
      <c r="F21" s="976"/>
    </row>
    <row r="22" spans="2:6">
      <c r="B22" s="17" t="s">
        <v>347</v>
      </c>
      <c r="C22" s="23"/>
      <c r="D22" s="975" t="s">
        <v>348</v>
      </c>
      <c r="E22" s="18"/>
      <c r="F22" s="976"/>
    </row>
    <row r="23" spans="2:6">
      <c r="B23" s="17" t="s">
        <v>349</v>
      </c>
      <c r="C23" s="23" t="s">
        <v>350</v>
      </c>
      <c r="D23" s="975"/>
      <c r="E23" s="18"/>
      <c r="F23" s="976"/>
    </row>
    <row r="24" spans="2:6">
      <c r="B24" s="17"/>
      <c r="C24" s="23"/>
      <c r="D24" s="975"/>
      <c r="E24" s="18"/>
      <c r="F24" s="976"/>
    </row>
    <row r="25" spans="2:6">
      <c r="B25" s="17"/>
      <c r="C25" s="23"/>
      <c r="D25" s="975"/>
      <c r="E25" s="18"/>
      <c r="F25" s="976"/>
    </row>
    <row r="26" spans="2:6">
      <c r="B26" s="17"/>
      <c r="C26" s="23"/>
      <c r="D26" s="975"/>
      <c r="E26" s="18"/>
      <c r="F26" s="976"/>
    </row>
    <row r="27" spans="2:6">
      <c r="B27" s="19"/>
      <c r="C27" s="980"/>
      <c r="D27" s="975"/>
      <c r="E27" s="18"/>
      <c r="F27" s="976"/>
    </row>
    <row r="28" spans="2:6">
      <c r="B28" s="19"/>
      <c r="C28" s="841"/>
      <c r="D28" s="975"/>
      <c r="E28" s="18"/>
      <c r="F28" s="976"/>
    </row>
    <row r="29" spans="2:6">
      <c r="B29" s="19"/>
      <c r="C29" s="23"/>
      <c r="D29" s="981"/>
      <c r="E29" s="18"/>
      <c r="F29" s="976"/>
    </row>
    <row r="30" spans="2:6">
      <c r="B30" s="19"/>
      <c r="D30" s="975"/>
      <c r="E30" s="18"/>
      <c r="F30" s="976"/>
    </row>
    <row r="31" spans="2:6">
      <c r="B31" s="19" t="s">
        <v>306</v>
      </c>
      <c r="C31" s="1007"/>
      <c r="D31" s="975"/>
      <c r="E31" s="984"/>
      <c r="F31" s="985"/>
    </row>
    <row r="32" spans="2:6">
      <c r="B32" s="20" t="s">
        <v>311</v>
      </c>
      <c r="C32" s="987"/>
      <c r="D32" t="s">
        <v>356</v>
      </c>
      <c r="E32" s="984"/>
      <c r="F32" s="985"/>
    </row>
    <row r="33" spans="2:6">
      <c r="B33" s="20"/>
      <c r="C33" s="987"/>
      <c r="D33" s="988"/>
      <c r="E33" s="18"/>
      <c r="F33" s="978"/>
    </row>
    <row r="34" spans="2:6">
      <c r="B34" s="20"/>
      <c r="C34" s="987"/>
      <c r="E34" s="18"/>
      <c r="F34" s="978"/>
    </row>
    <row r="35" spans="2:6">
      <c r="B35" s="20"/>
      <c r="C35" s="987"/>
      <c r="D35" s="988"/>
      <c r="E35" s="18"/>
      <c r="F35" s="978"/>
    </row>
    <row r="36" spans="2:6">
      <c r="B36" s="19" t="s">
        <v>314</v>
      </c>
      <c r="C36" s="987"/>
      <c r="D36" s="988"/>
      <c r="E36" s="18"/>
      <c r="F36" s="978"/>
    </row>
    <row r="37" spans="2:6">
      <c r="B37" s="20" t="s">
        <v>341</v>
      </c>
      <c r="C37" s="989"/>
      <c r="D37" t="s">
        <v>357</v>
      </c>
      <c r="E37" s="18"/>
      <c r="F37" s="978"/>
    </row>
    <row r="38" spans="2:6">
      <c r="B38" s="1006" t="s">
        <v>343</v>
      </c>
      <c r="C38" s="989"/>
      <c r="D38" t="s">
        <v>344</v>
      </c>
      <c r="E38" s="18"/>
      <c r="F38" s="978"/>
    </row>
    <row r="39" spans="2:6">
      <c r="B39" s="20" t="s">
        <v>353</v>
      </c>
      <c r="C39" s="23" t="s">
        <v>355</v>
      </c>
      <c r="D39" s="977" t="s">
        <v>354</v>
      </c>
      <c r="E39" s="18"/>
      <c r="F39" s="978"/>
    </row>
    <row r="40" spans="2:6">
      <c r="B40" s="20"/>
      <c r="C40" s="987"/>
      <c r="D40" s="977"/>
      <c r="E40" s="18"/>
      <c r="F40" s="978"/>
    </row>
    <row r="41" spans="2:6">
      <c r="B41" s="20"/>
      <c r="C41" s="989"/>
      <c r="D41" s="988"/>
      <c r="E41" s="18"/>
      <c r="F41" s="978"/>
    </row>
    <row r="42" spans="2:6">
      <c r="B42" s="20"/>
      <c r="C42" s="23"/>
      <c r="D42" s="975"/>
      <c r="E42" s="18"/>
      <c r="F42" s="978"/>
    </row>
    <row r="43" spans="2:6">
      <c r="B43" s="17"/>
      <c r="C43" s="977"/>
      <c r="D43" s="975"/>
      <c r="E43" s="18"/>
      <c r="F43" s="978"/>
    </row>
    <row r="44" spans="2:6">
      <c r="B44" s="17"/>
      <c r="C44" s="977"/>
      <c r="D44" s="975"/>
      <c r="E44" s="18"/>
      <c r="F44" s="978"/>
    </row>
    <row r="45" spans="2:6">
      <c r="B45" s="19"/>
      <c r="C45" s="977"/>
      <c r="D45" s="975"/>
      <c r="E45" s="322"/>
      <c r="F45" s="978"/>
    </row>
    <row r="46" spans="2:6">
      <c r="B46" s="20"/>
      <c r="C46" s="990"/>
      <c r="D46" s="975"/>
      <c r="E46" s="701"/>
      <c r="F46" s="978"/>
    </row>
    <row r="47" spans="2:6">
      <c r="B47" s="17"/>
      <c r="C47" s="990"/>
      <c r="D47" s="975"/>
      <c r="E47" s="322"/>
      <c r="F47" s="978"/>
    </row>
    <row r="48" spans="2:6">
      <c r="B48" s="17"/>
      <c r="C48" s="991"/>
      <c r="D48" s="975"/>
      <c r="E48" s="322"/>
      <c r="F48" s="978"/>
    </row>
    <row r="49" spans="2:6">
      <c r="B49" s="17"/>
      <c r="C49" s="977"/>
      <c r="D49" s="975"/>
      <c r="F49" s="978"/>
    </row>
    <row r="50" spans="2:6">
      <c r="B50" s="17"/>
      <c r="C50" s="977"/>
      <c r="D50" s="975"/>
      <c r="F50" s="978"/>
    </row>
    <row r="51" spans="2:6">
      <c r="B51" s="992"/>
      <c r="C51" s="993"/>
      <c r="D51" s="983"/>
      <c r="F51" s="978"/>
    </row>
    <row r="52" spans="2:6">
      <c r="B52" s="992"/>
      <c r="C52" s="993"/>
      <c r="D52" s="983"/>
      <c r="F52" s="978"/>
    </row>
    <row r="53" spans="2:6">
      <c r="B53" s="992"/>
      <c r="C53" s="993"/>
      <c r="D53" s="983"/>
      <c r="F53" s="978"/>
    </row>
    <row r="54" spans="2:6">
      <c r="B54" s="992"/>
      <c r="C54" s="993"/>
      <c r="D54" s="983"/>
      <c r="F54" s="978"/>
    </row>
    <row r="55" spans="2:6">
      <c r="C55" s="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8</vt:i4>
      </vt:variant>
    </vt:vector>
  </HeadingPairs>
  <TitlesOfParts>
    <vt:vector size="8" baseType="lpstr">
      <vt:lpstr>WK21</vt:lpstr>
      <vt:lpstr>WK22</vt:lpstr>
      <vt:lpstr>WK23</vt:lpstr>
      <vt:lpstr>WK24</vt:lpstr>
      <vt:lpstr>Periode</vt:lpstr>
      <vt:lpstr>Loonstrook</vt:lpstr>
      <vt:lpstr>Grondslag bouw &amp; infra</vt:lpstr>
      <vt:lpstr>SAVG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dc:creator>
  <cp:lastModifiedBy>debbie@activum.local</cp:lastModifiedBy>
  <cp:lastPrinted>2026-06-16T11:46:54Z</cp:lastPrinted>
  <dcterms:created xsi:type="dcterms:W3CDTF">2020-01-20T12:23:46Z</dcterms:created>
  <dcterms:modified xsi:type="dcterms:W3CDTF">2026-06-18T12:53:07Z</dcterms:modified>
</cp:coreProperties>
</file>